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4C3E251140EEAA8/Documents/"/>
    </mc:Choice>
  </mc:AlternateContent>
  <xr:revisionPtr revIDLastSave="0" documentId="8_{730F1D87-917C-48C8-BDC9-DAA9E5578A84}" xr6:coauthVersionLast="47" xr6:coauthVersionMax="47" xr10:uidLastSave="{00000000-0000-0000-0000-000000000000}"/>
  <bookViews>
    <workbookView xWindow="-120" yWindow="-120" windowWidth="20730" windowHeight="11040" firstSheet="1" activeTab="1" xr2:uid="{13F4AE79-2971-4DD1-83EB-84B9C5A6F743}"/>
  </bookViews>
  <sheets>
    <sheet name="Sheet1" sheetId="3" r:id="rId1"/>
    <sheet name="SuperMarket Sales" sheetId="2" r:id="rId2"/>
  </sheets>
  <calcPr calcId="191028"/>
  <pivotCaches>
    <pivotCache cacheId="50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K9" i="2"/>
  <c r="F81" i="2"/>
  <c r="H46" i="2"/>
  <c r="I46" i="2" s="1"/>
  <c r="H74" i="2"/>
  <c r="I74" i="2" s="1"/>
  <c r="H55" i="2"/>
  <c r="I55" i="2" s="1"/>
  <c r="H27" i="2"/>
  <c r="I27" i="2" s="1"/>
  <c r="H13" i="2"/>
  <c r="I13" i="2" s="1"/>
  <c r="H64" i="2"/>
  <c r="I64" i="2" s="1"/>
  <c r="H37" i="2"/>
  <c r="I37" i="2" s="1"/>
  <c r="H20" i="2"/>
  <c r="I20" i="2" s="1"/>
  <c r="H50" i="2"/>
  <c r="I50" i="2" s="1"/>
  <c r="H70" i="2"/>
  <c r="I70" i="2" s="1"/>
  <c r="H59" i="2"/>
  <c r="I59" i="2" s="1"/>
  <c r="H32" i="2"/>
  <c r="I32" i="2" s="1"/>
  <c r="H11" i="2"/>
  <c r="I11" i="2" s="1"/>
  <c r="H65" i="2"/>
  <c r="I65" i="2" s="1"/>
  <c r="H39" i="2"/>
  <c r="I39" i="2" s="1"/>
  <c r="H24" i="2"/>
  <c r="I24" i="2" s="1"/>
  <c r="H47" i="2"/>
  <c r="I47" i="2" s="1"/>
  <c r="H73" i="2"/>
  <c r="I73" i="2" s="1"/>
  <c r="H54" i="2"/>
  <c r="I54" i="2" s="1"/>
  <c r="H28" i="2"/>
  <c r="I28" i="2" s="1"/>
  <c r="H14" i="2"/>
  <c r="I14" i="2" s="1"/>
  <c r="H63" i="2"/>
  <c r="I63" i="2" s="1"/>
  <c r="H38" i="2"/>
  <c r="I38" i="2" s="1"/>
  <c r="H19" i="2"/>
  <c r="I19" i="2" s="1"/>
  <c r="H48" i="2"/>
  <c r="I48" i="2" s="1"/>
  <c r="H71" i="2"/>
  <c r="I71" i="2" s="1"/>
  <c r="H57" i="2"/>
  <c r="I57" i="2" s="1"/>
  <c r="H31" i="2"/>
  <c r="I31" i="2" s="1"/>
  <c r="H12" i="2"/>
  <c r="I12" i="2" s="1"/>
  <c r="H62" i="2"/>
  <c r="I62" i="2" s="1"/>
  <c r="H40" i="2"/>
  <c r="I40" i="2" s="1"/>
  <c r="H22" i="2"/>
  <c r="I22" i="2" s="1"/>
  <c r="H44" i="2"/>
  <c r="I44" i="2" s="1"/>
  <c r="H72" i="2"/>
  <c r="I72" i="2" s="1"/>
  <c r="H53" i="2"/>
  <c r="I53" i="2" s="1"/>
  <c r="H30" i="2"/>
  <c r="I30" i="2" s="1"/>
  <c r="H15" i="2"/>
  <c r="I15" i="2" s="1"/>
  <c r="H66" i="2"/>
  <c r="I66" i="2" s="1"/>
  <c r="H42" i="2"/>
  <c r="I42" i="2" s="1"/>
  <c r="H18" i="2"/>
  <c r="I18" i="2" s="1"/>
  <c r="H45" i="2"/>
  <c r="I45" i="2" s="1"/>
  <c r="H67" i="2"/>
  <c r="I67" i="2" s="1"/>
  <c r="H56" i="2"/>
  <c r="I56" i="2" s="1"/>
  <c r="H29" i="2"/>
  <c r="I29" i="2" s="1"/>
  <c r="H10" i="2"/>
  <c r="I10" i="2" s="1"/>
  <c r="H61" i="2"/>
  <c r="I61" i="2" s="1"/>
  <c r="H41" i="2"/>
  <c r="I41" i="2" s="1"/>
  <c r="H76" i="2"/>
  <c r="I76" i="2" s="1"/>
  <c r="H77" i="2"/>
  <c r="I77" i="2" s="1"/>
  <c r="H23" i="2"/>
  <c r="I23" i="2" s="1"/>
  <c r="H49" i="2"/>
  <c r="I49" i="2" s="1"/>
  <c r="H68" i="2"/>
  <c r="I68" i="2" s="1"/>
  <c r="H34" i="2"/>
  <c r="I34" i="2" s="1"/>
  <c r="H52" i="2"/>
  <c r="I52" i="2" s="1"/>
  <c r="H78" i="2"/>
  <c r="I78" i="2" s="1"/>
  <c r="H26" i="2"/>
  <c r="I26" i="2" s="1"/>
  <c r="H43" i="2"/>
  <c r="I43" i="2" s="1"/>
  <c r="H17" i="2"/>
  <c r="I17" i="2" s="1"/>
  <c r="H25" i="2"/>
  <c r="I25" i="2" s="1"/>
  <c r="H9" i="2"/>
  <c r="H35" i="2"/>
  <c r="I35" i="2" s="1"/>
  <c r="H75" i="2"/>
  <c r="I75" i="2" s="1"/>
  <c r="H16" i="2"/>
  <c r="I16" i="2" s="1"/>
  <c r="H69" i="2"/>
  <c r="I69" i="2" s="1"/>
  <c r="H33" i="2"/>
  <c r="I33" i="2" s="1"/>
  <c r="H60" i="2"/>
  <c r="I60" i="2" s="1"/>
  <c r="H58" i="2"/>
  <c r="I58" i="2" s="1"/>
  <c r="H21" i="2"/>
  <c r="I21" i="2" s="1"/>
  <c r="H51" i="2"/>
  <c r="I51" i="2" s="1"/>
  <c r="H36" i="2"/>
  <c r="I36" i="2" s="1"/>
  <c r="I9" i="2" l="1"/>
  <c r="H79" i="2"/>
</calcChain>
</file>

<file path=xl/sharedStrings.xml><?xml version="1.0" encoding="utf-8"?>
<sst xmlns="http://schemas.openxmlformats.org/spreadsheetml/2006/main" count="159" uniqueCount="135">
  <si>
    <t>Retail Price (USD)</t>
  </si>
  <si>
    <t>Sum of Total (USD)</t>
  </si>
  <si>
    <t>Grand Total</t>
  </si>
  <si>
    <t>Excel Sample Data</t>
  </si>
  <si>
    <t>Supermarket Sales Data</t>
  </si>
  <si>
    <t>Tax</t>
  </si>
  <si>
    <t>Order No</t>
  </si>
  <si>
    <t>Order Date</t>
  </si>
  <si>
    <t>Customer Name</t>
  </si>
  <si>
    <t>Ship Date</t>
  </si>
  <si>
    <t>Order Quantity</t>
  </si>
  <si>
    <t>Tax (USD)</t>
  </si>
  <si>
    <t>Total (USD)</t>
  </si>
  <si>
    <t>1011</t>
  </si>
  <si>
    <t>William Hernandez</t>
  </si>
  <si>
    <t>1026</t>
  </si>
  <si>
    <t>Sarah Smith</t>
  </si>
  <si>
    <t>1058</t>
  </si>
  <si>
    <t>Sarah Johnson</t>
  </si>
  <si>
    <t>Emily Brown</t>
  </si>
  <si>
    <t>1042</t>
  </si>
  <si>
    <t>1066</t>
  </si>
  <si>
    <t>Sarah Gonzalez</t>
  </si>
  <si>
    <t>1050</t>
  </si>
  <si>
    <t>1034</t>
  </si>
  <si>
    <t>Sarah Garcia</t>
  </si>
  <si>
    <t>1008</t>
  </si>
  <si>
    <t>Sarah Anderson</t>
  </si>
  <si>
    <t>1013</t>
  </si>
  <si>
    <t>Richard Perez</t>
  </si>
  <si>
    <t>1031</t>
  </si>
  <si>
    <t>Michael Smith</t>
  </si>
  <si>
    <t>1047</t>
  </si>
  <si>
    <t>Michael Martinez</t>
  </si>
  <si>
    <t>1063</t>
  </si>
  <si>
    <t>1003</t>
  </si>
  <si>
    <t>Michael Johnson</t>
  </si>
  <si>
    <t>1039</t>
  </si>
  <si>
    <t>1021</t>
  </si>
  <si>
    <t>Michael Garcia</t>
  </si>
  <si>
    <t>1055</t>
  </si>
  <si>
    <t>Michael Davis</t>
  </si>
  <si>
    <t>1012</t>
  </si>
  <si>
    <t>Melissa Lopez</t>
  </si>
  <si>
    <t>1015</t>
  </si>
  <si>
    <t>Matthew Wilson</t>
  </si>
  <si>
    <t>1067</t>
  </si>
  <si>
    <t>Matthew Smith</t>
  </si>
  <si>
    <t>1051</t>
  </si>
  <si>
    <t>1027</t>
  </si>
  <si>
    <t>Matthew Johnson</t>
  </si>
  <si>
    <t>1035</t>
  </si>
  <si>
    <t>Matthew Hernandez</t>
  </si>
  <si>
    <t>1043</t>
  </si>
  <si>
    <t>Matthew Garcia</t>
  </si>
  <si>
    <t>1059</t>
  </si>
  <si>
    <t>1006</t>
  </si>
  <si>
    <t>Lisa Taylor</t>
  </si>
  <si>
    <t>1018</t>
  </si>
  <si>
    <t>Laura Brown</t>
  </si>
  <si>
    <t>1010</t>
  </si>
  <si>
    <t>Kimberly Garcia</t>
  </si>
  <si>
    <t>1001</t>
  </si>
  <si>
    <t>John Smith</t>
  </si>
  <si>
    <t>1064</t>
  </si>
  <si>
    <t>Jessica Wilson</t>
  </si>
  <si>
    <t>1048</t>
  </si>
  <si>
    <t>1056</t>
  </si>
  <si>
    <t>Jessica Smith</t>
  </si>
  <si>
    <t>1040</t>
  </si>
  <si>
    <t>Jessica Martinez</t>
  </si>
  <si>
    <t>1024</t>
  </si>
  <si>
    <t>1032</t>
  </si>
  <si>
    <t>Jessica Johnson</t>
  </si>
  <si>
    <t>1014</t>
  </si>
  <si>
    <t>Jessica Gonzalez</t>
  </si>
  <si>
    <t>1038</t>
  </si>
  <si>
    <t>Jennifer Smith</t>
  </si>
  <si>
    <t>1030</t>
  </si>
  <si>
    <t>Jennifer Martinez</t>
  </si>
  <si>
    <t>1070</t>
  </si>
  <si>
    <t>Jennifer Hernandez</t>
  </si>
  <si>
    <t>1054</t>
  </si>
  <si>
    <t>1046</t>
  </si>
  <si>
    <t>Jennifer Davis</t>
  </si>
  <si>
    <t>1020</t>
  </si>
  <si>
    <t>1062</t>
  </si>
  <si>
    <t>1002</t>
  </si>
  <si>
    <t>Jane Doe</t>
  </si>
  <si>
    <t>1017</t>
  </si>
  <si>
    <t>James Johnson</t>
  </si>
  <si>
    <t>1036</t>
  </si>
  <si>
    <t>Emily Rodriguez</t>
  </si>
  <si>
    <t>1052</t>
  </si>
  <si>
    <t>Emily Johnson</t>
  </si>
  <si>
    <t>1068</t>
  </si>
  <si>
    <t>1028</t>
  </si>
  <si>
    <t>Emily Davis</t>
  </si>
  <si>
    <t>1044</t>
  </si>
  <si>
    <t>1004</t>
  </si>
  <si>
    <t>1060</t>
  </si>
  <si>
    <t>1005</t>
  </si>
  <si>
    <t>David Wilson</t>
  </si>
  <si>
    <t>1025</t>
  </si>
  <si>
    <t>1041</t>
  </si>
  <si>
    <t>1049</t>
  </si>
  <si>
    <t>David Rodriguez</t>
  </si>
  <si>
    <t>1065</t>
  </si>
  <si>
    <t>1057</t>
  </si>
  <si>
    <t>David Martinez</t>
  </si>
  <si>
    <t>1033</t>
  </si>
  <si>
    <t>David Brown</t>
  </si>
  <si>
    <t>1029</t>
  </si>
  <si>
    <t>Daniel Wilson</t>
  </si>
  <si>
    <t>1019</t>
  </si>
  <si>
    <t>Daniel Smith</t>
  </si>
  <si>
    <t>1007</t>
  </si>
  <si>
    <t>Daniel Martinez</t>
  </si>
  <si>
    <t>1061</t>
  </si>
  <si>
    <t>Daniel Hernandez</t>
  </si>
  <si>
    <t>1045</t>
  </si>
  <si>
    <t>1037</t>
  </si>
  <si>
    <t>Daniel Davis</t>
  </si>
  <si>
    <t>1053</t>
  </si>
  <si>
    <t>Daniel Brown</t>
  </si>
  <si>
    <t>1069</t>
  </si>
  <si>
    <t>1009</t>
  </si>
  <si>
    <t>Christopher Thomas</t>
  </si>
  <si>
    <t>1023</t>
  </si>
  <si>
    <t>Christopher Rodriguez</t>
  </si>
  <si>
    <t>1022</t>
  </si>
  <si>
    <t>Amy Hernandez</t>
  </si>
  <si>
    <t>1016</t>
  </si>
  <si>
    <t>Amanda Martinez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</si>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</sst>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theme="7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4" fontId="6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164" fontId="2" fillId="2" borderId="1" xfId="0" applyNumberFormat="1" applyFont="1" applyFill="1" applyBorder="1" applyAlignment="1">
      <alignment horizontal="centerContinuous" vertical="center"/>
    </xf>
    <xf numFmtId="164" fontId="3" fillId="0" borderId="0" xfId="0" applyNumberFormat="1" applyFont="1"/>
    <xf numFmtId="164" fontId="5" fillId="3" borderId="2" xfId="0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165" fontId="2" fillId="2" borderId="1" xfId="0" applyNumberFormat="1" applyFont="1" applyFill="1" applyBorder="1" applyAlignment="1">
      <alignment horizontal="centerContinuous" vertical="center"/>
    </xf>
    <xf numFmtId="165" fontId="3" fillId="0" borderId="0" xfId="0" applyNumberFormat="1" applyFont="1"/>
    <xf numFmtId="165" fontId="5" fillId="3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vertical="center"/>
    </xf>
    <xf numFmtId="165" fontId="6" fillId="0" borderId="7" xfId="0" applyNumberFormat="1" applyFont="1" applyBorder="1" applyAlignment="1">
      <alignment vertical="center"/>
    </xf>
    <xf numFmtId="165" fontId="6" fillId="0" borderId="2" xfId="1" applyNumberFormat="1" applyFont="1" applyBorder="1" applyAlignment="1">
      <alignment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vertical="center"/>
    </xf>
    <xf numFmtId="165" fontId="6" fillId="0" borderId="8" xfId="0" applyNumberFormat="1" applyFont="1" applyBorder="1" applyAlignment="1">
      <alignment vertical="center"/>
    </xf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center"/>
    </xf>
    <xf numFmtId="165" fontId="5" fillId="3" borderId="9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&quot;$&quot;#,##0.0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&quot;$&quot;#,##0.00"/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&quot;$&quot;#,##0.0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&quot;$&quot;#,##0.00"/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F800]dddd\,\ mmmm\ dd\,\ 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F800]dddd\,\ mmmm\ dd\,\ yyyy"/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/>
      </border>
    </dxf>
    <dxf>
      <border outline="0">
        <left style="thin">
          <color rgb="FFD9D9D9"/>
        </left>
        <right style="thin">
          <color rgb="FFD9D9D9"/>
        </right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[Supermarket-Sales-Sample-Data.xlsx]Sheet1!PivotTable1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Sheet1!$A$4:$A$15</c:f>
              <c:strCache>
                <c:ptCount val="11"/>
                <c:pt idx="0">
                  <c:v>$19.99</c:v>
                </c:pt>
                <c:pt idx="1">
                  <c:v>$29.99</c:v>
                </c:pt>
                <c:pt idx="2">
                  <c:v>$39.99</c:v>
                </c:pt>
                <c:pt idx="3">
                  <c:v>$49.99</c:v>
                </c:pt>
                <c:pt idx="4">
                  <c:v>$69.99</c:v>
                </c:pt>
                <c:pt idx="5">
                  <c:v>$79.99</c:v>
                </c:pt>
                <c:pt idx="6">
                  <c:v>$89.99</c:v>
                </c:pt>
                <c:pt idx="7">
                  <c:v>$99.99</c:v>
                </c:pt>
                <c:pt idx="8">
                  <c:v>$129.99</c:v>
                </c:pt>
                <c:pt idx="9">
                  <c:v>$149.99</c:v>
                </c:pt>
                <c:pt idx="10">
                  <c:v>$199.99</c:v>
                </c:pt>
              </c:strCache>
            </c:strRef>
          </c:cat>
          <c:val>
            <c:numRef>
              <c:f>Sheet1!$B$4:$B$15</c:f>
              <c:numCache>
                <c:formatCode>"$"#,##0.00</c:formatCode>
                <c:ptCount val="11"/>
                <c:pt idx="0">
                  <c:v>703.64800000000002</c:v>
                </c:pt>
                <c:pt idx="1">
                  <c:v>1187.6039999999998</c:v>
                </c:pt>
                <c:pt idx="2">
                  <c:v>923.76899999999989</c:v>
                </c:pt>
                <c:pt idx="3">
                  <c:v>1264.7469999999998</c:v>
                </c:pt>
                <c:pt idx="4">
                  <c:v>1077.8459999999998</c:v>
                </c:pt>
                <c:pt idx="5">
                  <c:v>1407.8240000000001</c:v>
                </c:pt>
                <c:pt idx="6">
                  <c:v>98.98899999999999</c:v>
                </c:pt>
                <c:pt idx="7">
                  <c:v>329.96699999999998</c:v>
                </c:pt>
                <c:pt idx="8">
                  <c:v>1000.9230000000001</c:v>
                </c:pt>
                <c:pt idx="9">
                  <c:v>1319.912</c:v>
                </c:pt>
                <c:pt idx="10">
                  <c:v>1539.923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3-46F2-91A7-D81536044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3112583"/>
        <c:axId val="2029491207"/>
      </c:barChart>
      <c:catAx>
        <c:axId val="2033112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491207"/>
        <c:crosses val="autoZero"/>
        <c:auto val="1"/>
        <c:lblAlgn val="ctr"/>
        <c:lblOffset val="100"/>
        <c:noMultiLvlLbl val="0"/>
      </c:catAx>
      <c:valAx>
        <c:axId val="2029491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12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[Supermarket-Sales-Sample-Data.xlsx]Sheet1!PivotTable1</c:name>
    <c:fmtId val="3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Sheet1!$A$4:$A$15</c:f>
              <c:strCache>
                <c:ptCount val="11"/>
                <c:pt idx="0">
                  <c:v>$19.99</c:v>
                </c:pt>
                <c:pt idx="1">
                  <c:v>$29.99</c:v>
                </c:pt>
                <c:pt idx="2">
                  <c:v>$39.99</c:v>
                </c:pt>
                <c:pt idx="3">
                  <c:v>$49.99</c:v>
                </c:pt>
                <c:pt idx="4">
                  <c:v>$69.99</c:v>
                </c:pt>
                <c:pt idx="5">
                  <c:v>$79.99</c:v>
                </c:pt>
                <c:pt idx="6">
                  <c:v>$89.99</c:v>
                </c:pt>
                <c:pt idx="7">
                  <c:v>$99.99</c:v>
                </c:pt>
                <c:pt idx="8">
                  <c:v>$129.99</c:v>
                </c:pt>
                <c:pt idx="9">
                  <c:v>$149.99</c:v>
                </c:pt>
                <c:pt idx="10">
                  <c:v>$199.99</c:v>
                </c:pt>
              </c:strCache>
            </c:strRef>
          </c:cat>
          <c:val>
            <c:numRef>
              <c:f>Sheet1!$B$4:$B$15</c:f>
              <c:numCache>
                <c:formatCode>"$"#,##0.00</c:formatCode>
                <c:ptCount val="11"/>
                <c:pt idx="0">
                  <c:v>703.64800000000002</c:v>
                </c:pt>
                <c:pt idx="1">
                  <c:v>1187.6039999999998</c:v>
                </c:pt>
                <c:pt idx="2">
                  <c:v>923.76899999999989</c:v>
                </c:pt>
                <c:pt idx="3">
                  <c:v>1264.7469999999998</c:v>
                </c:pt>
                <c:pt idx="4">
                  <c:v>1077.8459999999998</c:v>
                </c:pt>
                <c:pt idx="5">
                  <c:v>1407.8240000000001</c:v>
                </c:pt>
                <c:pt idx="6">
                  <c:v>98.98899999999999</c:v>
                </c:pt>
                <c:pt idx="7">
                  <c:v>329.96699999999998</c:v>
                </c:pt>
                <c:pt idx="8">
                  <c:v>1000.9230000000001</c:v>
                </c:pt>
                <c:pt idx="9">
                  <c:v>1319.912</c:v>
                </c:pt>
                <c:pt idx="10">
                  <c:v>1539.923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CD-4141-85A3-505C333F8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6797575"/>
        <c:axId val="2066799623"/>
      </c:lineChart>
      <c:catAx>
        <c:axId val="2066797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799623"/>
        <c:crosses val="autoZero"/>
        <c:auto val="1"/>
        <c:lblAlgn val="ctr"/>
        <c:lblOffset val="100"/>
        <c:noMultiLvlLbl val="0"/>
      </c:catAx>
      <c:valAx>
        <c:axId val="2066799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797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[Supermarket-Sales-Sample-Data.xlsx]Sheet1!PivotTable1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Sheet1!$A$4:$A$15</c:f>
              <c:strCache>
                <c:ptCount val="11"/>
                <c:pt idx="0">
                  <c:v>$19.99</c:v>
                </c:pt>
                <c:pt idx="1">
                  <c:v>$29.99</c:v>
                </c:pt>
                <c:pt idx="2">
                  <c:v>$39.99</c:v>
                </c:pt>
                <c:pt idx="3">
                  <c:v>$49.99</c:v>
                </c:pt>
                <c:pt idx="4">
                  <c:v>$69.99</c:v>
                </c:pt>
                <c:pt idx="5">
                  <c:v>$79.99</c:v>
                </c:pt>
                <c:pt idx="6">
                  <c:v>$89.99</c:v>
                </c:pt>
                <c:pt idx="7">
                  <c:v>$99.99</c:v>
                </c:pt>
                <c:pt idx="8">
                  <c:v>$129.99</c:v>
                </c:pt>
                <c:pt idx="9">
                  <c:v>$149.99</c:v>
                </c:pt>
                <c:pt idx="10">
                  <c:v>$199.99</c:v>
                </c:pt>
              </c:strCache>
            </c:strRef>
          </c:cat>
          <c:val>
            <c:numRef>
              <c:f>Sheet1!$B$4:$B$15</c:f>
              <c:numCache>
                <c:formatCode>"$"#,##0.00</c:formatCode>
                <c:ptCount val="11"/>
                <c:pt idx="0">
                  <c:v>703.64800000000002</c:v>
                </c:pt>
                <c:pt idx="1">
                  <c:v>1187.6039999999998</c:v>
                </c:pt>
                <c:pt idx="2">
                  <c:v>923.76899999999989</c:v>
                </c:pt>
                <c:pt idx="3">
                  <c:v>1264.7469999999998</c:v>
                </c:pt>
                <c:pt idx="4">
                  <c:v>1077.8459999999998</c:v>
                </c:pt>
                <c:pt idx="5">
                  <c:v>1407.8240000000001</c:v>
                </c:pt>
                <c:pt idx="6">
                  <c:v>98.98899999999999</c:v>
                </c:pt>
                <c:pt idx="7">
                  <c:v>329.96699999999998</c:v>
                </c:pt>
                <c:pt idx="8">
                  <c:v>1000.9230000000001</c:v>
                </c:pt>
                <c:pt idx="9">
                  <c:v>1319.912</c:v>
                </c:pt>
                <c:pt idx="10">
                  <c:v>1539.923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E-4472-BCAA-720DAF1FE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499463"/>
        <c:axId val="1732502535"/>
      </c:areaChart>
      <c:catAx>
        <c:axId val="1732499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02535"/>
        <c:crosses val="autoZero"/>
        <c:auto val="1"/>
        <c:lblAlgn val="ctr"/>
        <c:lblOffset val="100"/>
        <c:noMultiLvlLbl val="0"/>
      </c:catAx>
      <c:valAx>
        <c:axId val="1732502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499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142875</xdr:rowOff>
    </xdr:from>
    <xdr:to>
      <xdr:col>10</xdr:col>
      <xdr:colOff>352425</xdr:colOff>
      <xdr:row>10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B9976-5014-A0F3-EE82-575F9CC36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142875</xdr:colOff>
      <xdr:row>11</xdr:row>
      <xdr:rowOff>0</xdr:rowOff>
    </xdr:from>
    <xdr:to>
      <xdr:col>10</xdr:col>
      <xdr:colOff>1323975</xdr:colOff>
      <xdr:row>19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143F4C-6F77-3325-F27C-E98596D70EA7}"/>
            </a:ext>
            <a:ext uri="{147F2762-F138-4A5C-976F-8EAC2B608ADB}">
              <a16:predDERef xmlns:a16="http://schemas.microsoft.com/office/drawing/2014/main" pred="{894B9976-5014-A0F3-EE82-575F9CC36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295275</xdr:colOff>
      <xdr:row>11</xdr:row>
      <xdr:rowOff>0</xdr:rowOff>
    </xdr:from>
    <xdr:to>
      <xdr:col>6</xdr:col>
      <xdr:colOff>142875</xdr:colOff>
      <xdr:row>20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2D2301-C407-AAAC-36A0-9A44F4D60349}"/>
            </a:ext>
            <a:ext uri="{147F2762-F138-4A5C-976F-8EAC2B608ADB}">
              <a16:predDERef xmlns:a16="http://schemas.microsoft.com/office/drawing/2014/main" pred="{F7143F4C-6F77-3325-F27C-E98596D70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7.71601585648" createdVersion="8" refreshedVersion="8" minRefreshableVersion="3" recordCount="70" xr:uid="{694013D0-28A6-42BE-A6B8-65A43F796277}">
  <cacheSource type="worksheet">
    <worksheetSource name="Table1"/>
  </cacheSource>
  <cacheFields count="8">
    <cacheField name="Order No" numFmtId="0">
      <sharedItems/>
    </cacheField>
    <cacheField name="Order Date" numFmtId="164">
      <sharedItems containsSemiMixedTypes="0" containsNonDate="0" containsDate="1" containsString="0" minDate="2024-01-01T00:00:00" maxDate="2024-02-05T00:00:00" count="35">
        <d v="2024-01-08T00:00:00"/>
        <d v="2024-01-11T00:00:00"/>
        <d v="2024-01-12T00:00:00"/>
        <d v="2024-01-05T00:00:00"/>
        <d v="2024-01-27T00:00:00"/>
        <d v="2024-02-04T00:00:00"/>
        <d v="2024-01-19T00:00:00"/>
        <d v="2024-01-31T00:00:00"/>
        <d v="2024-01-23T00:00:00"/>
        <d v="2024-01-04T00:00:00"/>
        <d v="2024-01-10T00:00:00"/>
        <d v="2024-01-15T00:00:00"/>
        <d v="2024-01-17T00:00:00"/>
        <d v="2024-01-29T00:00:00"/>
        <d v="2024-01-25T00:00:00"/>
        <d v="2024-02-01T00:00:00"/>
        <d v="2024-01-03T00:00:00"/>
        <d v="2024-01-13T00:00:00"/>
        <d v="2024-01-21T00:00:00"/>
        <d v="2024-01-22T00:00:00"/>
        <d v="2024-01-02T00:00:00"/>
        <d v="2024-01-30T00:00:00"/>
        <d v="2024-01-14T00:00:00"/>
        <d v="2024-01-26T00:00:00"/>
        <d v="2024-01-18T00:00:00"/>
        <d v="2024-01-09T00:00:00"/>
        <d v="2024-01-01T00:00:00"/>
        <d v="2024-01-07T00:00:00"/>
        <d v="2024-01-16T00:00:00"/>
        <d v="2024-01-20T00:00:00"/>
        <d v="2024-01-28T00:00:00"/>
        <d v="2024-01-24T00:00:00"/>
        <d v="2024-02-03T00:00:00"/>
        <d v="2024-01-06T00:00:00"/>
        <d v="2024-02-02T00:00:00"/>
      </sharedItems>
    </cacheField>
    <cacheField name="Customer Name" numFmtId="0">
      <sharedItems/>
    </cacheField>
    <cacheField name="Ship Date" numFmtId="14">
      <sharedItems containsSemiMixedTypes="0" containsNonDate="0" containsDate="1" containsString="0" minDate="2024-01-03T00:00:00" maxDate="2024-02-09T00:00:00" count="34">
        <d v="2024-01-12T00:00:00"/>
        <d v="2024-01-15T00:00:00"/>
        <d v="2024-01-17T00:00:00"/>
        <d v="2024-01-06T00:00:00"/>
        <d v="2024-01-31T00:00:00"/>
        <d v="2024-02-08T00:00:00"/>
        <d v="2024-01-20T00:00:00"/>
        <d v="2024-02-02T00:00:00"/>
        <d v="2024-01-27T00:00:00"/>
        <d v="2024-01-11T00:00:00"/>
        <d v="2024-01-19T00:00:00"/>
        <d v="2024-01-30T00:00:00"/>
        <d v="2024-02-03T00:00:00"/>
        <d v="2024-01-08T00:00:00"/>
        <d v="2024-01-26T00:00:00"/>
        <d v="2024-01-25T00:00:00"/>
        <d v="2024-01-03T00:00:00"/>
        <d v="2024-02-01T00:00:00"/>
        <d v="2024-01-28T00:00:00"/>
        <d v="2024-02-05T00:00:00"/>
        <d v="2024-01-14T00:00:00"/>
        <d v="2024-01-04T00:00:00"/>
        <d v="2024-02-04T00:00:00"/>
        <d v="2024-02-07T00:00:00"/>
        <d v="2024-01-22T00:00:00"/>
        <d v="2024-01-21T00:00:00"/>
        <d v="2024-01-29T00:00:00"/>
        <d v="2024-01-23T00:00:00"/>
        <d v="2024-01-18T00:00:00"/>
        <d v="2024-02-06T00:00:00"/>
        <d v="2024-01-13T00:00:00"/>
        <d v="2024-01-07T00:00:00"/>
        <d v="2024-01-24T00:00:00"/>
        <d v="2024-01-09T00:00:00"/>
      </sharedItems>
    </cacheField>
    <cacheField name="Retail Price (USD)" numFmtId="165">
      <sharedItems containsSemiMixedTypes="0" containsString="0" containsNumber="1" minValue="19.989999999999998" maxValue="199.99" count="11">
        <n v="149.99"/>
        <n v="49.99"/>
        <n v="129.99"/>
        <n v="89.99"/>
        <n v="69.989999999999995"/>
        <n v="19.989999999999998"/>
        <n v="199.99"/>
        <n v="39.99"/>
        <n v="29.99"/>
        <n v="79.989999999999995"/>
        <n v="99.99"/>
      </sharedItems>
    </cacheField>
    <cacheField name="Order Quantity" numFmtId="0">
      <sharedItems containsSemiMixedTypes="0" containsString="0" containsNumber="1" containsInteger="1" minValue="1" maxValue="5" count="5">
        <n v="1"/>
        <n v="3"/>
        <n v="2"/>
        <n v="4"/>
        <n v="5"/>
      </sharedItems>
    </cacheField>
    <cacheField name="Tax (USD)" numFmtId="0">
      <sharedItems containsSemiMixedTypes="0" containsString="0" containsNumber="1" minValue="2.9990000000000001" maxValue="29.997"/>
    </cacheField>
    <cacheField name="Total (USD)" numFmtId="165">
      <sharedItems containsSemiMixedTypes="0" containsString="0" containsNumber="1" minValue="32.988999999999997" maxValue="329.966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1016"/>
    <x v="0"/>
    <s v="Amanda Martinez"/>
    <x v="0"/>
    <x v="0"/>
    <x v="0"/>
    <n v="14.999000000000002"/>
    <n v="164.989"/>
  </r>
  <r>
    <s v="1022"/>
    <x v="1"/>
    <s v="Amy Hernandez"/>
    <x v="1"/>
    <x v="1"/>
    <x v="1"/>
    <n v="14.997"/>
    <n v="164.96699999999998"/>
  </r>
  <r>
    <s v="1023"/>
    <x v="2"/>
    <s v="Christopher Rodriguez"/>
    <x v="2"/>
    <x v="2"/>
    <x v="0"/>
    <n v="12.999000000000002"/>
    <n v="142.989"/>
  </r>
  <r>
    <s v="1009"/>
    <x v="3"/>
    <s v="Christopher Thomas"/>
    <x v="3"/>
    <x v="3"/>
    <x v="0"/>
    <n v="8.9990000000000006"/>
    <n v="98.98899999999999"/>
  </r>
  <r>
    <s v="1053"/>
    <x v="4"/>
    <s v="Daniel Brown"/>
    <x v="4"/>
    <x v="4"/>
    <x v="2"/>
    <n v="13.997999999999999"/>
    <n v="153.97799999999998"/>
  </r>
  <r>
    <s v="1069"/>
    <x v="5"/>
    <s v="Daniel Brown"/>
    <x v="5"/>
    <x v="5"/>
    <x v="3"/>
    <n v="7.9959999999999996"/>
    <n v="87.955999999999989"/>
  </r>
  <r>
    <s v="1037"/>
    <x v="6"/>
    <s v="Daniel Davis"/>
    <x v="6"/>
    <x v="6"/>
    <x v="0"/>
    <n v="19.999000000000002"/>
    <n v="219.989"/>
  </r>
  <r>
    <s v="1061"/>
    <x v="7"/>
    <s v="Daniel Hernandez"/>
    <x v="7"/>
    <x v="0"/>
    <x v="0"/>
    <n v="14.999000000000002"/>
    <n v="164.989"/>
  </r>
  <r>
    <s v="1045"/>
    <x v="8"/>
    <s v="Daniel Hernandez"/>
    <x v="8"/>
    <x v="7"/>
    <x v="1"/>
    <n v="11.997"/>
    <n v="131.96699999999998"/>
  </r>
  <r>
    <s v="1007"/>
    <x v="9"/>
    <s v="Daniel Martinez"/>
    <x v="3"/>
    <x v="7"/>
    <x v="1"/>
    <n v="11.997"/>
    <n v="131.96699999999998"/>
  </r>
  <r>
    <s v="1019"/>
    <x v="10"/>
    <s v="Daniel Smith"/>
    <x v="9"/>
    <x v="6"/>
    <x v="0"/>
    <n v="19.999000000000002"/>
    <n v="219.989"/>
  </r>
  <r>
    <s v="1029"/>
    <x v="11"/>
    <s v="Daniel Wilson"/>
    <x v="10"/>
    <x v="8"/>
    <x v="4"/>
    <n v="14.994999999999999"/>
    <n v="164.94499999999999"/>
  </r>
  <r>
    <s v="1033"/>
    <x v="12"/>
    <s v="David Brown"/>
    <x v="10"/>
    <x v="5"/>
    <x v="3"/>
    <n v="7.9959999999999996"/>
    <n v="87.955999999999989"/>
  </r>
  <r>
    <s v="1057"/>
    <x v="13"/>
    <s v="David Martinez"/>
    <x v="11"/>
    <x v="9"/>
    <x v="2"/>
    <n v="15.997999999999999"/>
    <n v="175.97799999999998"/>
  </r>
  <r>
    <s v="1049"/>
    <x v="14"/>
    <s v="David Rodriguez"/>
    <x v="11"/>
    <x v="1"/>
    <x v="1"/>
    <n v="14.997"/>
    <n v="164.96699999999998"/>
  </r>
  <r>
    <s v="1065"/>
    <x v="15"/>
    <s v="David Rodriguez"/>
    <x v="12"/>
    <x v="8"/>
    <x v="4"/>
    <n v="14.994999999999999"/>
    <n v="164.94499999999999"/>
  </r>
  <r>
    <s v="1005"/>
    <x v="16"/>
    <s v="David Wilson"/>
    <x v="13"/>
    <x v="0"/>
    <x v="0"/>
    <n v="14.999000000000002"/>
    <n v="164.989"/>
  </r>
  <r>
    <s v="1025"/>
    <x v="17"/>
    <s v="David Wilson"/>
    <x v="2"/>
    <x v="0"/>
    <x v="0"/>
    <n v="14.999000000000002"/>
    <n v="164.989"/>
  </r>
  <r>
    <s v="1041"/>
    <x v="18"/>
    <s v="David Wilson"/>
    <x v="14"/>
    <x v="2"/>
    <x v="0"/>
    <n v="12.999000000000002"/>
    <n v="142.989"/>
  </r>
  <r>
    <s v="1044"/>
    <x v="19"/>
    <s v="Emily Brown"/>
    <x v="15"/>
    <x v="4"/>
    <x v="2"/>
    <n v="13.997999999999999"/>
    <n v="153.97799999999998"/>
  </r>
  <r>
    <s v="1004"/>
    <x v="20"/>
    <s v="Emily Brown"/>
    <x v="16"/>
    <x v="5"/>
    <x v="3"/>
    <n v="7.9959999999999996"/>
    <n v="87.955999999999989"/>
  </r>
  <r>
    <s v="1060"/>
    <x v="21"/>
    <s v="Emily Brown"/>
    <x v="17"/>
    <x v="5"/>
    <x v="3"/>
    <n v="7.9959999999999996"/>
    <n v="87.955999999999989"/>
  </r>
  <r>
    <s v="1028"/>
    <x v="22"/>
    <s v="Emily Davis"/>
    <x v="10"/>
    <x v="6"/>
    <x v="0"/>
    <n v="19.999000000000002"/>
    <n v="219.989"/>
  </r>
  <r>
    <s v="1052"/>
    <x v="23"/>
    <s v="Emily Johnson"/>
    <x v="18"/>
    <x v="0"/>
    <x v="0"/>
    <n v="14.999000000000002"/>
    <n v="164.989"/>
  </r>
  <r>
    <s v="1068"/>
    <x v="5"/>
    <s v="Emily Johnson"/>
    <x v="19"/>
    <x v="2"/>
    <x v="0"/>
    <n v="12.999000000000002"/>
    <n v="142.989"/>
  </r>
  <r>
    <s v="1036"/>
    <x v="24"/>
    <s v="Emily Rodriguez"/>
    <x v="10"/>
    <x v="7"/>
    <x v="1"/>
    <n v="11.997"/>
    <n v="131.96699999999998"/>
  </r>
  <r>
    <s v="1017"/>
    <x v="25"/>
    <s v="James Johnson"/>
    <x v="20"/>
    <x v="4"/>
    <x v="2"/>
    <n v="13.997999999999999"/>
    <n v="153.97799999999998"/>
  </r>
  <r>
    <s v="1002"/>
    <x v="26"/>
    <s v="Jane Doe"/>
    <x v="21"/>
    <x v="8"/>
    <x v="0"/>
    <n v="2.9990000000000001"/>
    <n v="32.988999999999997"/>
  </r>
  <r>
    <s v="1046"/>
    <x v="8"/>
    <s v="Jennifer Davis"/>
    <x v="14"/>
    <x v="6"/>
    <x v="0"/>
    <n v="19.999000000000002"/>
    <n v="219.989"/>
  </r>
  <r>
    <s v="1020"/>
    <x v="10"/>
    <s v="Jennifer Davis"/>
    <x v="20"/>
    <x v="8"/>
    <x v="4"/>
    <n v="14.994999999999999"/>
    <n v="164.94499999999999"/>
  </r>
  <r>
    <s v="1062"/>
    <x v="7"/>
    <s v="Jennifer Davis"/>
    <x v="22"/>
    <x v="4"/>
    <x v="2"/>
    <n v="13.997999999999999"/>
    <n v="153.97799999999998"/>
  </r>
  <r>
    <s v="1070"/>
    <x v="5"/>
    <s v="Jennifer Hernandez"/>
    <x v="23"/>
    <x v="0"/>
    <x v="0"/>
    <n v="14.999000000000002"/>
    <n v="164.989"/>
  </r>
  <r>
    <s v="1054"/>
    <x v="4"/>
    <s v="Jennifer Hernandez"/>
    <x v="4"/>
    <x v="7"/>
    <x v="1"/>
    <n v="11.997"/>
    <n v="131.96699999999998"/>
  </r>
  <r>
    <s v="1030"/>
    <x v="11"/>
    <s v="Jennifer Martinez"/>
    <x v="10"/>
    <x v="9"/>
    <x v="2"/>
    <n v="15.997999999999999"/>
    <n v="175.97799999999998"/>
  </r>
  <r>
    <s v="1038"/>
    <x v="6"/>
    <s v="Jennifer Smith"/>
    <x v="24"/>
    <x v="8"/>
    <x v="4"/>
    <n v="14.994999999999999"/>
    <n v="164.94499999999999"/>
  </r>
  <r>
    <s v="1014"/>
    <x v="27"/>
    <s v="Jessica Gonzalez"/>
    <x v="0"/>
    <x v="2"/>
    <x v="0"/>
    <n v="12.999000000000002"/>
    <n v="142.989"/>
  </r>
  <r>
    <s v="1032"/>
    <x v="28"/>
    <s v="Jessica Johnson"/>
    <x v="2"/>
    <x v="2"/>
    <x v="0"/>
    <n v="12.999000000000002"/>
    <n v="142.989"/>
  </r>
  <r>
    <s v="1040"/>
    <x v="29"/>
    <s v="Jessica Martinez"/>
    <x v="25"/>
    <x v="1"/>
    <x v="1"/>
    <n v="14.997"/>
    <n v="164.96699999999998"/>
  </r>
  <r>
    <s v="1024"/>
    <x v="2"/>
    <s v="Jessica Martinez"/>
    <x v="2"/>
    <x v="5"/>
    <x v="3"/>
    <n v="7.9959999999999996"/>
    <n v="87.955999999999989"/>
  </r>
  <r>
    <s v="1056"/>
    <x v="30"/>
    <s v="Jessica Smith"/>
    <x v="26"/>
    <x v="8"/>
    <x v="4"/>
    <n v="14.994999999999999"/>
    <n v="164.94499999999999"/>
  </r>
  <r>
    <s v="1064"/>
    <x v="15"/>
    <s v="Jessica Wilson"/>
    <x v="19"/>
    <x v="6"/>
    <x v="0"/>
    <n v="19.999000000000002"/>
    <n v="219.989"/>
  </r>
  <r>
    <s v="1048"/>
    <x v="31"/>
    <s v="Jessica Wilson"/>
    <x v="14"/>
    <x v="9"/>
    <x v="2"/>
    <n v="15.997999999999999"/>
    <n v="175.97799999999998"/>
  </r>
  <r>
    <s v="1001"/>
    <x v="26"/>
    <s v="John Smith"/>
    <x v="16"/>
    <x v="1"/>
    <x v="2"/>
    <n v="9.9980000000000011"/>
    <n v="109.97800000000001"/>
  </r>
  <r>
    <s v="1010"/>
    <x v="3"/>
    <s v="Kimberly Garcia"/>
    <x v="13"/>
    <x v="6"/>
    <x v="0"/>
    <n v="19.999000000000002"/>
    <n v="219.989"/>
  </r>
  <r>
    <s v="1018"/>
    <x v="25"/>
    <s v="Laura Brown"/>
    <x v="0"/>
    <x v="7"/>
    <x v="1"/>
    <n v="11.997"/>
    <n v="131.96699999999998"/>
  </r>
  <r>
    <s v="1006"/>
    <x v="16"/>
    <s v="Lisa Taylor"/>
    <x v="3"/>
    <x v="9"/>
    <x v="2"/>
    <n v="15.997999999999999"/>
    <n v="175.97799999999998"/>
  </r>
  <r>
    <s v="1043"/>
    <x v="19"/>
    <s v="Matthew Garcia"/>
    <x v="15"/>
    <x v="0"/>
    <x v="0"/>
    <n v="14.999000000000002"/>
    <n v="164.989"/>
  </r>
  <r>
    <s v="1059"/>
    <x v="21"/>
    <s v="Matthew Garcia"/>
    <x v="4"/>
    <x v="2"/>
    <x v="0"/>
    <n v="12.999000000000002"/>
    <n v="142.989"/>
  </r>
  <r>
    <s v="1035"/>
    <x v="24"/>
    <s v="Matthew Hernandez"/>
    <x v="27"/>
    <x v="4"/>
    <x v="2"/>
    <n v="13.997999999999999"/>
    <n v="153.97799999999998"/>
  </r>
  <r>
    <s v="1027"/>
    <x v="22"/>
    <s v="Matthew Johnson"/>
    <x v="28"/>
    <x v="7"/>
    <x v="1"/>
    <n v="11.997"/>
    <n v="131.96699999999998"/>
  </r>
  <r>
    <s v="1067"/>
    <x v="32"/>
    <s v="Matthew Smith"/>
    <x v="29"/>
    <x v="1"/>
    <x v="1"/>
    <n v="14.997"/>
    <n v="164.96699999999998"/>
  </r>
  <r>
    <s v="1051"/>
    <x v="23"/>
    <s v="Matthew Smith"/>
    <x v="26"/>
    <x v="5"/>
    <x v="3"/>
    <n v="7.9959999999999996"/>
    <n v="87.955999999999989"/>
  </r>
  <r>
    <s v="1015"/>
    <x v="0"/>
    <s v="Matthew Wilson"/>
    <x v="30"/>
    <x v="5"/>
    <x v="3"/>
    <n v="7.9959999999999996"/>
    <n v="87.955999999999989"/>
  </r>
  <r>
    <s v="1012"/>
    <x v="33"/>
    <s v="Melissa Lopez"/>
    <x v="13"/>
    <x v="9"/>
    <x v="2"/>
    <n v="15.997999999999999"/>
    <n v="175.97799999999998"/>
  </r>
  <r>
    <s v="1055"/>
    <x v="30"/>
    <s v="Michael Davis"/>
    <x v="26"/>
    <x v="6"/>
    <x v="0"/>
    <n v="19.999000000000002"/>
    <n v="219.989"/>
  </r>
  <r>
    <s v="1021"/>
    <x v="1"/>
    <s v="Michael Garcia"/>
    <x v="20"/>
    <x v="9"/>
    <x v="2"/>
    <n v="15.997999999999999"/>
    <n v="175.97799999999998"/>
  </r>
  <r>
    <s v="1003"/>
    <x v="20"/>
    <s v="Michael Johnson"/>
    <x v="31"/>
    <x v="10"/>
    <x v="1"/>
    <n v="29.997"/>
    <n v="329.96699999999998"/>
  </r>
  <r>
    <s v="1039"/>
    <x v="29"/>
    <s v="Michael Johnson"/>
    <x v="32"/>
    <x v="9"/>
    <x v="2"/>
    <n v="15.997999999999999"/>
    <n v="175.97799999999998"/>
  </r>
  <r>
    <s v="1047"/>
    <x v="31"/>
    <s v="Michael Martinez"/>
    <x v="15"/>
    <x v="8"/>
    <x v="4"/>
    <n v="14.994999999999999"/>
    <n v="164.94499999999999"/>
  </r>
  <r>
    <s v="1063"/>
    <x v="15"/>
    <s v="Michael Martinez"/>
    <x v="7"/>
    <x v="7"/>
    <x v="1"/>
    <n v="11.997"/>
    <n v="131.96699999999998"/>
  </r>
  <r>
    <s v="1031"/>
    <x v="28"/>
    <s v="Michael Smith"/>
    <x v="10"/>
    <x v="1"/>
    <x v="1"/>
    <n v="14.997"/>
    <n v="164.96699999999998"/>
  </r>
  <r>
    <s v="1013"/>
    <x v="27"/>
    <s v="Richard Perez"/>
    <x v="33"/>
    <x v="1"/>
    <x v="1"/>
    <n v="14.997"/>
    <n v="164.96699999999998"/>
  </r>
  <r>
    <s v="1008"/>
    <x v="9"/>
    <s v="Sarah Anderson"/>
    <x v="33"/>
    <x v="4"/>
    <x v="2"/>
    <n v="13.997999999999999"/>
    <n v="153.97799999999998"/>
  </r>
  <r>
    <s v="1034"/>
    <x v="12"/>
    <s v="Sarah Garcia"/>
    <x v="10"/>
    <x v="0"/>
    <x v="0"/>
    <n v="14.999000000000002"/>
    <n v="164.989"/>
  </r>
  <r>
    <s v="1066"/>
    <x v="34"/>
    <s v="Sarah Gonzalez"/>
    <x v="29"/>
    <x v="9"/>
    <x v="2"/>
    <n v="15.997999999999999"/>
    <n v="175.97799999999998"/>
  </r>
  <r>
    <s v="1050"/>
    <x v="14"/>
    <s v="Sarah Gonzalez"/>
    <x v="8"/>
    <x v="2"/>
    <x v="0"/>
    <n v="12.999000000000002"/>
    <n v="142.989"/>
  </r>
  <r>
    <s v="1058"/>
    <x v="13"/>
    <s v="Sarah Johnson"/>
    <x v="4"/>
    <x v="1"/>
    <x v="1"/>
    <n v="14.997"/>
    <n v="164.96699999999998"/>
  </r>
  <r>
    <s v="1042"/>
    <x v="18"/>
    <s v="Sarah Johnson"/>
    <x v="27"/>
    <x v="5"/>
    <x v="3"/>
    <n v="7.9959999999999996"/>
    <n v="87.955999999999989"/>
  </r>
  <r>
    <s v="1026"/>
    <x v="17"/>
    <s v="Sarah Smith"/>
    <x v="20"/>
    <x v="4"/>
    <x v="2"/>
    <n v="13.997999999999999"/>
    <n v="153.97799999999998"/>
  </r>
  <r>
    <s v="1011"/>
    <x v="33"/>
    <s v="William Hernandez"/>
    <x v="31"/>
    <x v="8"/>
    <x v="4"/>
    <n v="14.994999999999999"/>
    <n v="164.944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07DDB-07AC-4FFC-B27E-6AAAFC30B6F3}" name="PivotTable1" cacheId="50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15" firstHeaderRow="1" firstDataRow="1" firstDataCol="1"/>
  <pivotFields count="8">
    <pivotField compact="0" outline="0" showAll="0"/>
    <pivotField compact="0" numFmtId="164" outline="0" showAll="0">
      <items count="36">
        <item x="26"/>
        <item x="20"/>
        <item x="16"/>
        <item x="9"/>
        <item x="3"/>
        <item x="33"/>
        <item x="27"/>
        <item x="0"/>
        <item x="25"/>
        <item x="10"/>
        <item x="1"/>
        <item x="2"/>
        <item x="17"/>
        <item x="22"/>
        <item x="11"/>
        <item x="28"/>
        <item x="12"/>
        <item x="24"/>
        <item x="6"/>
        <item x="29"/>
        <item x="18"/>
        <item x="19"/>
        <item x="8"/>
        <item x="31"/>
        <item x="14"/>
        <item x="23"/>
        <item x="4"/>
        <item x="30"/>
        <item x="13"/>
        <item x="21"/>
        <item x="7"/>
        <item x="15"/>
        <item x="34"/>
        <item x="32"/>
        <item x="5"/>
        <item t="default"/>
      </items>
    </pivotField>
    <pivotField compact="0" outline="0" showAll="0"/>
    <pivotField compact="0" numFmtId="14" outline="0" showAll="0">
      <items count="35">
        <item x="16"/>
        <item x="21"/>
        <item x="3"/>
        <item x="31"/>
        <item x="13"/>
        <item x="33"/>
        <item x="9"/>
        <item x="0"/>
        <item x="30"/>
        <item x="20"/>
        <item x="1"/>
        <item x="2"/>
        <item x="28"/>
        <item x="10"/>
        <item x="6"/>
        <item x="25"/>
        <item x="24"/>
        <item x="27"/>
        <item x="32"/>
        <item x="15"/>
        <item x="14"/>
        <item x="8"/>
        <item x="18"/>
        <item x="26"/>
        <item x="11"/>
        <item x="4"/>
        <item x="17"/>
        <item x="7"/>
        <item x="12"/>
        <item x="22"/>
        <item x="19"/>
        <item x="29"/>
        <item x="23"/>
        <item x="5"/>
        <item t="default"/>
      </items>
    </pivotField>
    <pivotField axis="axisRow" compact="0" numFmtId="165" outline="0" showAll="0" sortType="ascending">
      <items count="12">
        <item x="5"/>
        <item x="8"/>
        <item x="7"/>
        <item x="1"/>
        <item x="4"/>
        <item x="9"/>
        <item x="3"/>
        <item x="10"/>
        <item x="2"/>
        <item x="0"/>
        <item x="6"/>
        <item t="default"/>
      </items>
    </pivotField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dataField="1" compact="0" numFmtId="165" outline="0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(USD)" fld="7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FD5D4-4205-446A-B64A-2152951DED97}" name="Table1" displayName="Table1" ref="B8:I79" totalsRowCount="1" headerRowDxfId="18" dataDxfId="17" tableBorderDxfId="16">
  <autoFilter ref="B8:I78" xr:uid="{405FD5D4-4205-446A-B64A-2152951DED97}"/>
  <sortState xmlns:xlrd2="http://schemas.microsoft.com/office/spreadsheetml/2017/richdata2" ref="B9:I78">
    <sortCondition descending="1" ref="D8:D78"/>
  </sortState>
  <tableColumns count="8">
    <tableColumn id="1" xr3:uid="{8C359A1C-32AF-47DD-8A49-E6ADEA6633D8}" name="Order No" dataDxfId="14" totalsRowDxfId="15"/>
    <tableColumn id="2" xr3:uid="{7A2747AD-C1DD-4561-8C2B-C7A72CBCA022}" name="Order Date" dataDxfId="12" totalsRowDxfId="13"/>
    <tableColumn id="3" xr3:uid="{97A4BA3C-8B26-414D-B638-7D49A1340951}" name="Customer Name" dataDxfId="10" totalsRowDxfId="11"/>
    <tableColumn id="4" xr3:uid="{C2ABE26E-D624-4C9B-ABA0-26ABFDA3AE7B}" name="Ship Date" dataDxfId="8" totalsRowDxfId="9"/>
    <tableColumn id="5" xr3:uid="{E85440CC-AC01-4643-9F0F-58F3F3A377A6}" name="Retail Price (USD)" dataDxfId="6" totalsRowDxfId="7"/>
    <tableColumn id="6" xr3:uid="{FB19983D-29E2-4F53-BC73-02A9C08772B1}" name="Order Quantity" dataDxfId="4" totalsRowDxfId="5"/>
    <tableColumn id="7" xr3:uid="{A491B667-AF12-4269-AEEA-156F55FA218B}" name="Tax (USD)" totalsRowFunction="custom" dataDxfId="2" totalsRowDxfId="3">
      <calculatedColumnFormula>F9*G9*$I$6</calculatedColumnFormula>
      <totalsRowFormula>SUM(Table1[Tax (USD)])</totalsRowFormula>
    </tableColumn>
    <tableColumn id="8" xr3:uid="{2D5445D5-83FE-430E-85F6-8F000810D0E1}" name="Total (USD)" dataDxfId="0" totalsRowDxfId="1">
      <calculatedColumnFormula>F9*G9+H9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F7DF-24EB-496D-B3EA-23A4B20C3E9A}">
  <dimension ref="A3:K15"/>
  <sheetViews>
    <sheetView workbookViewId="0">
      <selection activeCell="M10" sqref="M10"/>
    </sheetView>
  </sheetViews>
  <sheetFormatPr defaultRowHeight="15"/>
  <cols>
    <col min="1" max="1" width="19.7109375" bestFit="1" customWidth="1"/>
    <col min="2" max="2" width="17.28515625" bestFit="1" customWidth="1"/>
    <col min="3" max="3" width="23" bestFit="1" customWidth="1"/>
    <col min="4" max="4" width="8" bestFit="1" customWidth="1"/>
    <col min="5" max="5" width="9.5703125" bestFit="1" customWidth="1"/>
    <col min="6" max="6" width="23" bestFit="1" customWidth="1"/>
    <col min="7" max="7" width="9.5703125" bestFit="1" customWidth="1"/>
    <col min="8" max="10" width="8" bestFit="1" customWidth="1"/>
    <col min="11" max="11" width="22.140625" bestFit="1" customWidth="1"/>
    <col min="12" max="12" width="27.85546875" bestFit="1" customWidth="1"/>
    <col min="13" max="13" width="17.28515625" bestFit="1" customWidth="1"/>
    <col min="14" max="14" width="23" bestFit="1" customWidth="1"/>
    <col min="15" max="15" width="17.28515625" bestFit="1" customWidth="1"/>
    <col min="16" max="16" width="23" bestFit="1" customWidth="1"/>
    <col min="17" max="17" width="17.28515625" bestFit="1" customWidth="1"/>
    <col min="18" max="18" width="23" bestFit="1" customWidth="1"/>
    <col min="19" max="19" width="17.28515625" bestFit="1" customWidth="1"/>
    <col min="20" max="20" width="23" bestFit="1" customWidth="1"/>
    <col min="21" max="21" width="17.28515625" bestFit="1" customWidth="1"/>
    <col min="22" max="22" width="23" bestFit="1" customWidth="1"/>
    <col min="23" max="23" width="17.28515625" bestFit="1" customWidth="1"/>
    <col min="24" max="24" width="23" bestFit="1" customWidth="1"/>
    <col min="25" max="25" width="17.28515625" bestFit="1" customWidth="1"/>
    <col min="26" max="26" width="23" bestFit="1" customWidth="1"/>
    <col min="27" max="27" width="17.28515625" bestFit="1" customWidth="1"/>
    <col min="28" max="28" width="23" bestFit="1" customWidth="1"/>
    <col min="29" max="29" width="17.28515625" bestFit="1" customWidth="1"/>
    <col min="30" max="30" width="23" bestFit="1" customWidth="1"/>
    <col min="31" max="31" width="17.28515625" bestFit="1" customWidth="1"/>
    <col min="32" max="32" width="23" bestFit="1" customWidth="1"/>
    <col min="33" max="33" width="17.28515625" bestFit="1" customWidth="1"/>
    <col min="34" max="34" width="23" bestFit="1" customWidth="1"/>
    <col min="35" max="35" width="17.28515625" bestFit="1" customWidth="1"/>
    <col min="36" max="36" width="23" bestFit="1" customWidth="1"/>
    <col min="37" max="37" width="17.28515625" bestFit="1" customWidth="1"/>
    <col min="38" max="38" width="23" bestFit="1" customWidth="1"/>
    <col min="39" max="39" width="17.28515625" bestFit="1" customWidth="1"/>
    <col min="40" max="40" width="23" bestFit="1" customWidth="1"/>
    <col min="41" max="41" width="17.28515625" bestFit="1" customWidth="1"/>
    <col min="42" max="42" width="23" bestFit="1" customWidth="1"/>
    <col min="43" max="43" width="17.28515625" bestFit="1" customWidth="1"/>
    <col min="44" max="44" width="23" bestFit="1" customWidth="1"/>
    <col min="45" max="45" width="17.28515625" bestFit="1" customWidth="1"/>
    <col min="46" max="46" width="23" bestFit="1" customWidth="1"/>
    <col min="47" max="47" width="17.28515625" bestFit="1" customWidth="1"/>
    <col min="48" max="48" width="23" bestFit="1" customWidth="1"/>
    <col min="49" max="49" width="17.28515625" bestFit="1" customWidth="1"/>
    <col min="50" max="50" width="23" bestFit="1" customWidth="1"/>
    <col min="51" max="51" width="17.28515625" bestFit="1" customWidth="1"/>
    <col min="52" max="52" width="23" bestFit="1" customWidth="1"/>
    <col min="53" max="53" width="17.28515625" bestFit="1" customWidth="1"/>
    <col min="54" max="54" width="23" bestFit="1" customWidth="1"/>
    <col min="55" max="55" width="17.28515625" bestFit="1" customWidth="1"/>
    <col min="56" max="56" width="23" bestFit="1" customWidth="1"/>
    <col min="57" max="57" width="17.28515625" bestFit="1" customWidth="1"/>
    <col min="58" max="58" width="23" bestFit="1" customWidth="1"/>
    <col min="59" max="59" width="17.28515625" bestFit="1" customWidth="1"/>
    <col min="60" max="60" width="23" bestFit="1" customWidth="1"/>
    <col min="61" max="61" width="17.28515625" bestFit="1" customWidth="1"/>
    <col min="62" max="62" width="23" bestFit="1" customWidth="1"/>
    <col min="63" max="63" width="17.28515625" bestFit="1" customWidth="1"/>
    <col min="64" max="64" width="23" bestFit="1" customWidth="1"/>
    <col min="65" max="65" width="17.28515625" bestFit="1" customWidth="1"/>
    <col min="66" max="66" width="23" bestFit="1" customWidth="1"/>
    <col min="67" max="67" width="17.28515625" bestFit="1" customWidth="1"/>
    <col min="68" max="68" width="23" bestFit="1" customWidth="1"/>
    <col min="69" max="69" width="22.140625" bestFit="1" customWidth="1"/>
    <col min="70" max="70" width="27.85546875" bestFit="1" customWidth="1"/>
  </cols>
  <sheetData>
    <row r="3" spans="1:11">
      <c r="A3" s="26" t="s">
        <v>0</v>
      </c>
      <c r="B3" t="s">
        <v>1</v>
      </c>
    </row>
    <row r="4" spans="1:11">
      <c r="A4" s="27">
        <v>19.989999999999998</v>
      </c>
      <c r="B4" s="27">
        <v>703.64800000000002</v>
      </c>
    </row>
    <row r="5" spans="1:11">
      <c r="A5" s="27">
        <v>29.99</v>
      </c>
      <c r="B5" s="27">
        <v>1187.6039999999998</v>
      </c>
    </row>
    <row r="6" spans="1:11">
      <c r="A6" s="27">
        <v>39.99</v>
      </c>
      <c r="B6" s="27">
        <v>923.76899999999989</v>
      </c>
    </row>
    <row r="7" spans="1:11">
      <c r="A7" s="27">
        <v>49.99</v>
      </c>
      <c r="B7" s="27">
        <v>1264.7469999999998</v>
      </c>
    </row>
    <row r="8" spans="1:11">
      <c r="A8" s="27">
        <v>69.989999999999995</v>
      </c>
      <c r="B8" s="27">
        <v>1077.8459999999998</v>
      </c>
    </row>
    <row r="9" spans="1:11">
      <c r="A9" s="27">
        <v>79.989999999999995</v>
      </c>
      <c r="B9" s="27">
        <v>1407.8240000000001</v>
      </c>
    </row>
    <row r="10" spans="1:11">
      <c r="A10" s="27">
        <v>89.99</v>
      </c>
      <c r="B10" s="27">
        <v>98.98899999999999</v>
      </c>
    </row>
    <row r="11" spans="1:11">
      <c r="A11" s="27">
        <v>99.99</v>
      </c>
      <c r="B11" s="27">
        <v>329.96699999999998</v>
      </c>
    </row>
    <row r="12" spans="1:11">
      <c r="A12" s="27">
        <v>129.99</v>
      </c>
      <c r="B12" s="27">
        <v>1000.9230000000001</v>
      </c>
      <c r="K12" s="28"/>
    </row>
    <row r="13" spans="1:11">
      <c r="A13" s="27">
        <v>149.99</v>
      </c>
      <c r="B13" s="27">
        <v>1319.912</v>
      </c>
    </row>
    <row r="14" spans="1:11">
      <c r="A14" s="27">
        <v>199.99</v>
      </c>
      <c r="B14" s="27">
        <v>1539.923</v>
      </c>
    </row>
    <row r="15" spans="1:11">
      <c r="A15" s="27" t="s">
        <v>2</v>
      </c>
      <c r="B15" s="27">
        <v>10855.152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B2:L81"/>
  <sheetViews>
    <sheetView showGridLines="0" tabSelected="1" topLeftCell="C1" workbookViewId="0">
      <selection activeCell="L10" sqref="L10"/>
    </sheetView>
  </sheetViews>
  <sheetFormatPr defaultColWidth="8.85546875" defaultRowHeight="15"/>
  <cols>
    <col min="1" max="1" width="4.42578125" style="2" customWidth="1"/>
    <col min="2" max="2" width="12" style="2" bestFit="1" customWidth="1"/>
    <col min="3" max="3" width="27.7109375" style="13" customWidth="1"/>
    <col min="4" max="4" width="20.28515625" style="2" customWidth="1"/>
    <col min="5" max="5" width="13.5703125" style="2" customWidth="1"/>
    <col min="6" max="6" width="19.85546875" style="18" customWidth="1"/>
    <col min="7" max="7" width="17.5703125" style="2" customWidth="1"/>
    <col min="8" max="8" width="12.42578125" style="2" customWidth="1"/>
    <col min="9" max="9" width="14" style="18" customWidth="1"/>
    <col min="10" max="10" width="5.5703125" style="2" customWidth="1"/>
    <col min="11" max="11" width="21.42578125" style="2" customWidth="1"/>
    <col min="12" max="12" width="16.5703125" style="2" customWidth="1"/>
    <col min="13" max="16384" width="8.85546875" style="2"/>
  </cols>
  <sheetData>
    <row r="2" spans="2:12" ht="19.5" thickBot="1">
      <c r="B2" s="1" t="s">
        <v>3</v>
      </c>
      <c r="C2" s="12"/>
      <c r="D2" s="1"/>
      <c r="E2" s="1"/>
      <c r="F2" s="17"/>
      <c r="G2" s="1"/>
      <c r="H2" s="1"/>
      <c r="I2" s="17"/>
    </row>
    <row r="4" spans="2:12" ht="19.5" thickBot="1">
      <c r="B4" s="3" t="s">
        <v>4</v>
      </c>
      <c r="C4" s="12"/>
      <c r="D4" s="1"/>
      <c r="E4" s="1"/>
      <c r="F4" s="17"/>
      <c r="G4" s="1"/>
      <c r="H4" s="1"/>
      <c r="I4" s="17"/>
    </row>
    <row r="6" spans="2:12" ht="15.75">
      <c r="H6" s="4" t="s">
        <v>5</v>
      </c>
      <c r="I6" s="22">
        <v>0.1</v>
      </c>
    </row>
    <row r="8" spans="2:12" ht="15.75">
      <c r="B8" s="7" t="s">
        <v>6</v>
      </c>
      <c r="C8" s="14" t="s">
        <v>7</v>
      </c>
      <c r="D8" s="4" t="s">
        <v>8</v>
      </c>
      <c r="E8" s="4" t="s">
        <v>9</v>
      </c>
      <c r="F8" s="19" t="s">
        <v>0</v>
      </c>
      <c r="G8" s="4" t="s">
        <v>10</v>
      </c>
      <c r="H8" s="4" t="s">
        <v>11</v>
      </c>
      <c r="I8" s="23" t="s">
        <v>12</v>
      </c>
      <c r="K8" s="4" t="s">
        <v>8</v>
      </c>
      <c r="L8" s="29" t="s">
        <v>12</v>
      </c>
    </row>
    <row r="9" spans="2:12">
      <c r="B9" s="8" t="s">
        <v>13</v>
      </c>
      <c r="C9" s="15">
        <v>45297</v>
      </c>
      <c r="D9" s="5" t="s">
        <v>14</v>
      </c>
      <c r="E9" s="6">
        <v>45298</v>
      </c>
      <c r="F9" s="20">
        <v>29.99</v>
      </c>
      <c r="G9" s="5">
        <v>5</v>
      </c>
      <c r="H9" s="5">
        <f>F9*G9*$I$6</f>
        <v>14.994999999999999</v>
      </c>
      <c r="I9" s="24">
        <f>F9*G9+H9</f>
        <v>164.94499999999999</v>
      </c>
      <c r="K9" s="5" t="e">
        <f>VLOOKUP(L9,Table1[],3,FALSE)</f>
        <v>#N/A</v>
      </c>
      <c r="L9" s="20">
        <v>329.97</v>
      </c>
    </row>
    <row r="10" spans="2:12">
      <c r="B10" s="8" t="s">
        <v>15</v>
      </c>
      <c r="C10" s="15">
        <v>45304</v>
      </c>
      <c r="D10" s="5" t="s">
        <v>16</v>
      </c>
      <c r="E10" s="6">
        <v>45305</v>
      </c>
      <c r="F10" s="20">
        <v>69.989999999999995</v>
      </c>
      <c r="G10" s="5">
        <v>2</v>
      </c>
      <c r="H10" s="5">
        <f>F10*G10*$I$6</f>
        <v>13.997999999999999</v>
      </c>
      <c r="I10" s="24">
        <f>F10*G10+H10</f>
        <v>153.97799999999998</v>
      </c>
      <c r="K10" s="5" t="s">
        <v>14</v>
      </c>
      <c r="L10" s="2" t="e">
        <f>VLOOKUP(K10,Table1[],1,FALSE)</f>
        <v>#N/A</v>
      </c>
    </row>
    <row r="11" spans="2:12">
      <c r="B11" s="8" t="s">
        <v>17</v>
      </c>
      <c r="C11" s="15">
        <v>45320</v>
      </c>
      <c r="D11" s="5" t="s">
        <v>18</v>
      </c>
      <c r="E11" s="6">
        <v>45322</v>
      </c>
      <c r="F11" s="20">
        <v>49.99</v>
      </c>
      <c r="G11" s="5">
        <v>3</v>
      </c>
      <c r="H11" s="5">
        <f>F11*G11*$I$6</f>
        <v>14.997</v>
      </c>
      <c r="I11" s="24">
        <f>F11*G11+H11</f>
        <v>164.96699999999998</v>
      </c>
      <c r="K11" s="5" t="s">
        <v>19</v>
      </c>
    </row>
    <row r="12" spans="2:12">
      <c r="B12" s="8" t="s">
        <v>20</v>
      </c>
      <c r="C12" s="15">
        <v>45312</v>
      </c>
      <c r="D12" s="5" t="s">
        <v>18</v>
      </c>
      <c r="E12" s="6">
        <v>45314</v>
      </c>
      <c r="F12" s="20">
        <v>19.989999999999998</v>
      </c>
      <c r="G12" s="5">
        <v>4</v>
      </c>
      <c r="H12" s="5">
        <f>F12*G12*$I$6</f>
        <v>7.9959999999999996</v>
      </c>
      <c r="I12" s="24">
        <f>F12*G12+H12</f>
        <v>87.955999999999989</v>
      </c>
    </row>
    <row r="13" spans="2:12">
      <c r="B13" s="8" t="s">
        <v>21</v>
      </c>
      <c r="C13" s="15">
        <v>45324</v>
      </c>
      <c r="D13" s="5" t="s">
        <v>22</v>
      </c>
      <c r="E13" s="6">
        <v>45328</v>
      </c>
      <c r="F13" s="20">
        <v>79.989999999999995</v>
      </c>
      <c r="G13" s="5">
        <v>2</v>
      </c>
      <c r="H13" s="5">
        <f>F13*G13*$I$6</f>
        <v>15.997999999999999</v>
      </c>
      <c r="I13" s="24">
        <f>F13*G13+H13</f>
        <v>175.97799999999998</v>
      </c>
    </row>
    <row r="14" spans="2:12">
      <c r="B14" s="8" t="s">
        <v>23</v>
      </c>
      <c r="C14" s="15">
        <v>45316</v>
      </c>
      <c r="D14" s="5" t="s">
        <v>22</v>
      </c>
      <c r="E14" s="6">
        <v>45318</v>
      </c>
      <c r="F14" s="20">
        <v>129.99</v>
      </c>
      <c r="G14" s="5">
        <v>1</v>
      </c>
      <c r="H14" s="5">
        <f>F14*G14*$I$6</f>
        <v>12.999000000000002</v>
      </c>
      <c r="I14" s="24">
        <f>F14*G14+H14</f>
        <v>142.989</v>
      </c>
    </row>
    <row r="15" spans="2:12">
      <c r="B15" s="8" t="s">
        <v>24</v>
      </c>
      <c r="C15" s="15">
        <v>45308</v>
      </c>
      <c r="D15" s="5" t="s">
        <v>25</v>
      </c>
      <c r="E15" s="6">
        <v>45310</v>
      </c>
      <c r="F15" s="20">
        <v>149.99</v>
      </c>
      <c r="G15" s="5">
        <v>1</v>
      </c>
      <c r="H15" s="5">
        <f>F15*G15*$I$6</f>
        <v>14.999000000000002</v>
      </c>
      <c r="I15" s="24">
        <f>F15*G15+H15</f>
        <v>164.989</v>
      </c>
    </row>
    <row r="16" spans="2:12">
      <c r="B16" s="8" t="s">
        <v>26</v>
      </c>
      <c r="C16" s="15">
        <v>45295</v>
      </c>
      <c r="D16" s="5" t="s">
        <v>27</v>
      </c>
      <c r="E16" s="6">
        <v>45300</v>
      </c>
      <c r="F16" s="20">
        <v>69.989999999999995</v>
      </c>
      <c r="G16" s="5">
        <v>2</v>
      </c>
      <c r="H16" s="5">
        <f>F16*G16*$I$6</f>
        <v>13.997999999999999</v>
      </c>
      <c r="I16" s="24">
        <f>F16*G16+H16</f>
        <v>153.97799999999998</v>
      </c>
    </row>
    <row r="17" spans="2:9">
      <c r="B17" s="8" t="s">
        <v>28</v>
      </c>
      <c r="C17" s="15">
        <v>45298</v>
      </c>
      <c r="D17" s="5" t="s">
        <v>29</v>
      </c>
      <c r="E17" s="6">
        <v>45300</v>
      </c>
      <c r="F17" s="20">
        <v>49.99</v>
      </c>
      <c r="G17" s="5">
        <v>3</v>
      </c>
      <c r="H17" s="5">
        <f>F17*G17*$I$6</f>
        <v>14.997</v>
      </c>
      <c r="I17" s="24">
        <f>F17*G17+H17</f>
        <v>164.96699999999998</v>
      </c>
    </row>
    <row r="18" spans="2:9">
      <c r="B18" s="8" t="s">
        <v>30</v>
      </c>
      <c r="C18" s="15">
        <v>45307</v>
      </c>
      <c r="D18" s="5" t="s">
        <v>31</v>
      </c>
      <c r="E18" s="6">
        <v>45310</v>
      </c>
      <c r="F18" s="20">
        <v>49.99</v>
      </c>
      <c r="G18" s="5">
        <v>3</v>
      </c>
      <c r="H18" s="5">
        <f>F18*G18*$I$6</f>
        <v>14.997</v>
      </c>
      <c r="I18" s="24">
        <f>F18*G18+H18</f>
        <v>164.96699999999998</v>
      </c>
    </row>
    <row r="19" spans="2:9">
      <c r="B19" s="8" t="s">
        <v>32</v>
      </c>
      <c r="C19" s="15">
        <v>45315</v>
      </c>
      <c r="D19" s="5" t="s">
        <v>33</v>
      </c>
      <c r="E19" s="6">
        <v>45316</v>
      </c>
      <c r="F19" s="20">
        <v>29.99</v>
      </c>
      <c r="G19" s="5">
        <v>5</v>
      </c>
      <c r="H19" s="5">
        <f>F19*G19*$I$6</f>
        <v>14.994999999999999</v>
      </c>
      <c r="I19" s="24">
        <f>F19*G19+H19</f>
        <v>164.94499999999999</v>
      </c>
    </row>
    <row r="20" spans="2:9">
      <c r="B20" s="8" t="s">
        <v>34</v>
      </c>
      <c r="C20" s="15">
        <v>45323</v>
      </c>
      <c r="D20" s="5" t="s">
        <v>33</v>
      </c>
      <c r="E20" s="6">
        <v>45324</v>
      </c>
      <c r="F20" s="20">
        <v>39.99</v>
      </c>
      <c r="G20" s="5">
        <v>3</v>
      </c>
      <c r="H20" s="5">
        <f>F20*G20*$I$6</f>
        <v>11.997</v>
      </c>
      <c r="I20" s="24">
        <f>F20*G20+H20</f>
        <v>131.96699999999998</v>
      </c>
    </row>
    <row r="21" spans="2:9">
      <c r="B21" s="8" t="s">
        <v>35</v>
      </c>
      <c r="C21" s="15">
        <v>45293</v>
      </c>
      <c r="D21" s="5" t="s">
        <v>36</v>
      </c>
      <c r="E21" s="6">
        <v>45298</v>
      </c>
      <c r="F21" s="20">
        <v>99.99</v>
      </c>
      <c r="G21" s="5">
        <v>3</v>
      </c>
      <c r="H21" s="5">
        <f>F21*G21*$I$6</f>
        <v>29.997</v>
      </c>
      <c r="I21" s="24">
        <f>F21*G21+H21</f>
        <v>329.96699999999998</v>
      </c>
    </row>
    <row r="22" spans="2:9">
      <c r="B22" s="8" t="s">
        <v>37</v>
      </c>
      <c r="C22" s="15">
        <v>45311</v>
      </c>
      <c r="D22" s="5" t="s">
        <v>36</v>
      </c>
      <c r="E22" s="6">
        <v>45315</v>
      </c>
      <c r="F22" s="20">
        <v>79.989999999999995</v>
      </c>
      <c r="G22" s="5">
        <v>2</v>
      </c>
      <c r="H22" s="5">
        <f>F22*G22*$I$6</f>
        <v>15.997999999999999</v>
      </c>
      <c r="I22" s="24">
        <f>F22*G22+H22</f>
        <v>175.97799999999998</v>
      </c>
    </row>
    <row r="23" spans="2:9">
      <c r="B23" s="8" t="s">
        <v>38</v>
      </c>
      <c r="C23" s="15">
        <v>45302</v>
      </c>
      <c r="D23" s="5" t="s">
        <v>39</v>
      </c>
      <c r="E23" s="6">
        <v>45305</v>
      </c>
      <c r="F23" s="20">
        <v>79.989999999999995</v>
      </c>
      <c r="G23" s="5">
        <v>2</v>
      </c>
      <c r="H23" s="5">
        <f>F23*G23*$I$6</f>
        <v>15.997999999999999</v>
      </c>
      <c r="I23" s="24">
        <f>F23*G23+H23</f>
        <v>175.97799999999998</v>
      </c>
    </row>
    <row r="24" spans="2:9">
      <c r="B24" s="8" t="s">
        <v>40</v>
      </c>
      <c r="C24" s="15">
        <v>45319</v>
      </c>
      <c r="D24" s="5" t="s">
        <v>41</v>
      </c>
      <c r="E24" s="6">
        <v>45320</v>
      </c>
      <c r="F24" s="20">
        <v>199.99</v>
      </c>
      <c r="G24" s="5">
        <v>1</v>
      </c>
      <c r="H24" s="5">
        <f>F24*G24*$I$6</f>
        <v>19.999000000000002</v>
      </c>
      <c r="I24" s="24">
        <f>F24*G24+H24</f>
        <v>219.989</v>
      </c>
    </row>
    <row r="25" spans="2:9">
      <c r="B25" s="8" t="s">
        <v>42</v>
      </c>
      <c r="C25" s="15">
        <v>45297</v>
      </c>
      <c r="D25" s="5" t="s">
        <v>43</v>
      </c>
      <c r="E25" s="6">
        <v>45299</v>
      </c>
      <c r="F25" s="20">
        <v>79.989999999999995</v>
      </c>
      <c r="G25" s="5">
        <v>2</v>
      </c>
      <c r="H25" s="5">
        <f>F25*G25*$I$6</f>
        <v>15.997999999999999</v>
      </c>
      <c r="I25" s="24">
        <f>F25*G25+H25</f>
        <v>175.97799999999998</v>
      </c>
    </row>
    <row r="26" spans="2:9">
      <c r="B26" s="8" t="s">
        <v>44</v>
      </c>
      <c r="C26" s="15">
        <v>45299</v>
      </c>
      <c r="D26" s="5" t="s">
        <v>45</v>
      </c>
      <c r="E26" s="6">
        <v>45304</v>
      </c>
      <c r="F26" s="20">
        <v>19.989999999999998</v>
      </c>
      <c r="G26" s="5">
        <v>4</v>
      </c>
      <c r="H26" s="5">
        <f>F26*G26*$I$6</f>
        <v>7.9959999999999996</v>
      </c>
      <c r="I26" s="24">
        <f>F26*G26+H26</f>
        <v>87.955999999999989</v>
      </c>
    </row>
    <row r="27" spans="2:9">
      <c r="B27" s="8" t="s">
        <v>46</v>
      </c>
      <c r="C27" s="15">
        <v>45325</v>
      </c>
      <c r="D27" s="5" t="s">
        <v>47</v>
      </c>
      <c r="E27" s="6">
        <v>45328</v>
      </c>
      <c r="F27" s="20">
        <v>49.99</v>
      </c>
      <c r="G27" s="5">
        <v>3</v>
      </c>
      <c r="H27" s="5">
        <f>F27*G27*$I$6</f>
        <v>14.997</v>
      </c>
      <c r="I27" s="24">
        <f>F27*G27+H27</f>
        <v>164.96699999999998</v>
      </c>
    </row>
    <row r="28" spans="2:9">
      <c r="B28" s="8" t="s">
        <v>48</v>
      </c>
      <c r="C28" s="15">
        <v>45317</v>
      </c>
      <c r="D28" s="5" t="s">
        <v>47</v>
      </c>
      <c r="E28" s="6">
        <v>45320</v>
      </c>
      <c r="F28" s="20">
        <v>19.989999999999998</v>
      </c>
      <c r="G28" s="5">
        <v>4</v>
      </c>
      <c r="H28" s="5">
        <f>F28*G28*$I$6</f>
        <v>7.9959999999999996</v>
      </c>
      <c r="I28" s="24">
        <f>F28*G28+H28</f>
        <v>87.955999999999989</v>
      </c>
    </row>
    <row r="29" spans="2:9">
      <c r="B29" s="8" t="s">
        <v>49</v>
      </c>
      <c r="C29" s="15">
        <v>45305</v>
      </c>
      <c r="D29" s="5" t="s">
        <v>50</v>
      </c>
      <c r="E29" s="6">
        <v>45309</v>
      </c>
      <c r="F29" s="20">
        <v>39.99</v>
      </c>
      <c r="G29" s="5">
        <v>3</v>
      </c>
      <c r="H29" s="5">
        <f>F29*G29*$I$6</f>
        <v>11.997</v>
      </c>
      <c r="I29" s="24">
        <f>F29*G29+H29</f>
        <v>131.96699999999998</v>
      </c>
    </row>
    <row r="30" spans="2:9">
      <c r="B30" s="8" t="s">
        <v>51</v>
      </c>
      <c r="C30" s="15">
        <v>45309</v>
      </c>
      <c r="D30" s="5" t="s">
        <v>52</v>
      </c>
      <c r="E30" s="6">
        <v>45314</v>
      </c>
      <c r="F30" s="20">
        <v>69.989999999999995</v>
      </c>
      <c r="G30" s="5">
        <v>2</v>
      </c>
      <c r="H30" s="5">
        <f>F30*G30*$I$6</f>
        <v>13.997999999999999</v>
      </c>
      <c r="I30" s="24">
        <f>F30*G30+H30</f>
        <v>153.97799999999998</v>
      </c>
    </row>
    <row r="31" spans="2:9">
      <c r="B31" s="8" t="s">
        <v>53</v>
      </c>
      <c r="C31" s="15">
        <v>45313</v>
      </c>
      <c r="D31" s="5" t="s">
        <v>54</v>
      </c>
      <c r="E31" s="6">
        <v>45316</v>
      </c>
      <c r="F31" s="20">
        <v>149.99</v>
      </c>
      <c r="G31" s="5">
        <v>1</v>
      </c>
      <c r="H31" s="5">
        <f>F31*G31*$I$6</f>
        <v>14.999000000000002</v>
      </c>
      <c r="I31" s="24">
        <f>F31*G31+H31</f>
        <v>164.989</v>
      </c>
    </row>
    <row r="32" spans="2:9">
      <c r="B32" s="8" t="s">
        <v>55</v>
      </c>
      <c r="C32" s="15">
        <v>45321</v>
      </c>
      <c r="D32" s="5" t="s">
        <v>54</v>
      </c>
      <c r="E32" s="6">
        <v>45322</v>
      </c>
      <c r="F32" s="20">
        <v>129.99</v>
      </c>
      <c r="G32" s="5">
        <v>1</v>
      </c>
      <c r="H32" s="5">
        <f>F32*G32*$I$6</f>
        <v>12.999000000000002</v>
      </c>
      <c r="I32" s="24">
        <f>F32*G32+H32</f>
        <v>142.989</v>
      </c>
    </row>
    <row r="33" spans="2:9">
      <c r="B33" s="8" t="s">
        <v>56</v>
      </c>
      <c r="C33" s="15">
        <v>45294</v>
      </c>
      <c r="D33" s="5" t="s">
        <v>57</v>
      </c>
      <c r="E33" s="6">
        <v>45297</v>
      </c>
      <c r="F33" s="20">
        <v>79.989999999999995</v>
      </c>
      <c r="G33" s="5">
        <v>2</v>
      </c>
      <c r="H33" s="5">
        <f>F33*G33*$I$6</f>
        <v>15.997999999999999</v>
      </c>
      <c r="I33" s="24">
        <f>F33*G33+H33</f>
        <v>175.97799999999998</v>
      </c>
    </row>
    <row r="34" spans="2:9">
      <c r="B34" s="8" t="s">
        <v>58</v>
      </c>
      <c r="C34" s="15">
        <v>45300</v>
      </c>
      <c r="D34" s="5" t="s">
        <v>59</v>
      </c>
      <c r="E34" s="6">
        <v>45303</v>
      </c>
      <c r="F34" s="20">
        <v>39.99</v>
      </c>
      <c r="G34" s="5">
        <v>3</v>
      </c>
      <c r="H34" s="5">
        <f>F34*G34*$I$6</f>
        <v>11.997</v>
      </c>
      <c r="I34" s="24">
        <f>F34*G34+H34</f>
        <v>131.96699999999998</v>
      </c>
    </row>
    <row r="35" spans="2:9">
      <c r="B35" s="8" t="s">
        <v>60</v>
      </c>
      <c r="C35" s="15">
        <v>45296</v>
      </c>
      <c r="D35" s="5" t="s">
        <v>61</v>
      </c>
      <c r="E35" s="6">
        <v>45299</v>
      </c>
      <c r="F35" s="20">
        <v>199.99</v>
      </c>
      <c r="G35" s="5">
        <v>1</v>
      </c>
      <c r="H35" s="5">
        <f>F35*G35*$I$6</f>
        <v>19.999000000000002</v>
      </c>
      <c r="I35" s="24">
        <f>F35*G35+H35</f>
        <v>219.989</v>
      </c>
    </row>
    <row r="36" spans="2:9">
      <c r="B36" s="8" t="s">
        <v>62</v>
      </c>
      <c r="C36" s="15">
        <v>45292</v>
      </c>
      <c r="D36" s="5" t="s">
        <v>63</v>
      </c>
      <c r="E36" s="6">
        <v>45294</v>
      </c>
      <c r="F36" s="20">
        <v>49.99</v>
      </c>
      <c r="G36" s="5">
        <v>2</v>
      </c>
      <c r="H36" s="5">
        <f>F36*G36*$I$6</f>
        <v>9.9980000000000011</v>
      </c>
      <c r="I36" s="24">
        <f>F36*G36+H36</f>
        <v>109.97800000000001</v>
      </c>
    </row>
    <row r="37" spans="2:9">
      <c r="B37" s="8" t="s">
        <v>64</v>
      </c>
      <c r="C37" s="15">
        <v>45323</v>
      </c>
      <c r="D37" s="5" t="s">
        <v>65</v>
      </c>
      <c r="E37" s="6">
        <v>45327</v>
      </c>
      <c r="F37" s="20">
        <v>199.99</v>
      </c>
      <c r="G37" s="5">
        <v>1</v>
      </c>
      <c r="H37" s="5">
        <f>F37*G37*$I$6</f>
        <v>19.999000000000002</v>
      </c>
      <c r="I37" s="24">
        <f>F37*G37+H37</f>
        <v>219.989</v>
      </c>
    </row>
    <row r="38" spans="2:9">
      <c r="B38" s="8" t="s">
        <v>66</v>
      </c>
      <c r="C38" s="15">
        <v>45315</v>
      </c>
      <c r="D38" s="5" t="s">
        <v>65</v>
      </c>
      <c r="E38" s="6">
        <v>45317</v>
      </c>
      <c r="F38" s="20">
        <v>79.989999999999995</v>
      </c>
      <c r="G38" s="5">
        <v>2</v>
      </c>
      <c r="H38" s="5">
        <f>F38*G38*$I$6</f>
        <v>15.997999999999999</v>
      </c>
      <c r="I38" s="24">
        <f>F38*G38+H38</f>
        <v>175.97799999999998</v>
      </c>
    </row>
    <row r="39" spans="2:9">
      <c r="B39" s="8" t="s">
        <v>67</v>
      </c>
      <c r="C39" s="15">
        <v>45319</v>
      </c>
      <c r="D39" s="5" t="s">
        <v>68</v>
      </c>
      <c r="E39" s="6">
        <v>45320</v>
      </c>
      <c r="F39" s="20">
        <v>29.99</v>
      </c>
      <c r="G39" s="5">
        <v>5</v>
      </c>
      <c r="H39" s="5">
        <f>F39*G39*$I$6</f>
        <v>14.994999999999999</v>
      </c>
      <c r="I39" s="24">
        <f>F39*G39+H39</f>
        <v>164.94499999999999</v>
      </c>
    </row>
    <row r="40" spans="2:9">
      <c r="B40" s="8" t="s">
        <v>69</v>
      </c>
      <c r="C40" s="15">
        <v>45311</v>
      </c>
      <c r="D40" s="5" t="s">
        <v>70</v>
      </c>
      <c r="E40" s="6">
        <v>45312</v>
      </c>
      <c r="F40" s="20">
        <v>49.99</v>
      </c>
      <c r="G40" s="5">
        <v>3</v>
      </c>
      <c r="H40" s="5">
        <f>F40*G40*$I$6</f>
        <v>14.997</v>
      </c>
      <c r="I40" s="24">
        <f>F40*G40+H40</f>
        <v>164.96699999999998</v>
      </c>
    </row>
    <row r="41" spans="2:9">
      <c r="B41" s="8" t="s">
        <v>71</v>
      </c>
      <c r="C41" s="15">
        <v>45303</v>
      </c>
      <c r="D41" s="5" t="s">
        <v>70</v>
      </c>
      <c r="E41" s="6">
        <v>45308</v>
      </c>
      <c r="F41" s="20">
        <v>19.989999999999998</v>
      </c>
      <c r="G41" s="5">
        <v>4</v>
      </c>
      <c r="H41" s="5">
        <f>F41*G41*$I$6</f>
        <v>7.9959999999999996</v>
      </c>
      <c r="I41" s="24">
        <f>F41*G41+H41</f>
        <v>87.955999999999989</v>
      </c>
    </row>
    <row r="42" spans="2:9">
      <c r="B42" s="8" t="s">
        <v>72</v>
      </c>
      <c r="C42" s="15">
        <v>45307</v>
      </c>
      <c r="D42" s="5" t="s">
        <v>73</v>
      </c>
      <c r="E42" s="6">
        <v>45308</v>
      </c>
      <c r="F42" s="20">
        <v>129.99</v>
      </c>
      <c r="G42" s="5">
        <v>1</v>
      </c>
      <c r="H42" s="5">
        <f>F42*G42*$I$6</f>
        <v>12.999000000000002</v>
      </c>
      <c r="I42" s="24">
        <f>F42*G42+H42</f>
        <v>142.989</v>
      </c>
    </row>
    <row r="43" spans="2:9">
      <c r="B43" s="8" t="s">
        <v>74</v>
      </c>
      <c r="C43" s="15">
        <v>45298</v>
      </c>
      <c r="D43" s="5" t="s">
        <v>75</v>
      </c>
      <c r="E43" s="6">
        <v>45303</v>
      </c>
      <c r="F43" s="20">
        <v>129.99</v>
      </c>
      <c r="G43" s="5">
        <v>1</v>
      </c>
      <c r="H43" s="5">
        <f>F43*G43*$I$6</f>
        <v>12.999000000000002</v>
      </c>
      <c r="I43" s="24">
        <f>F43*G43+H43</f>
        <v>142.989</v>
      </c>
    </row>
    <row r="44" spans="2:9">
      <c r="B44" s="8" t="s">
        <v>76</v>
      </c>
      <c r="C44" s="15">
        <v>45310</v>
      </c>
      <c r="D44" s="5" t="s">
        <v>77</v>
      </c>
      <c r="E44" s="6">
        <v>45313</v>
      </c>
      <c r="F44" s="20">
        <v>29.99</v>
      </c>
      <c r="G44" s="5">
        <v>5</v>
      </c>
      <c r="H44" s="5">
        <f>F44*G44*$I$6</f>
        <v>14.994999999999999</v>
      </c>
      <c r="I44" s="24">
        <f>F44*G44+H44</f>
        <v>164.94499999999999</v>
      </c>
    </row>
    <row r="45" spans="2:9">
      <c r="B45" s="8" t="s">
        <v>78</v>
      </c>
      <c r="C45" s="15">
        <v>45306</v>
      </c>
      <c r="D45" s="5" t="s">
        <v>79</v>
      </c>
      <c r="E45" s="6">
        <v>45310</v>
      </c>
      <c r="F45" s="20">
        <v>79.989999999999995</v>
      </c>
      <c r="G45" s="5">
        <v>2</v>
      </c>
      <c r="H45" s="5">
        <f>F45*G45*$I$6</f>
        <v>15.997999999999999</v>
      </c>
      <c r="I45" s="24">
        <f>F45*G45+H45</f>
        <v>175.97799999999998</v>
      </c>
    </row>
    <row r="46" spans="2:9">
      <c r="B46" s="8" t="s">
        <v>80</v>
      </c>
      <c r="C46" s="15">
        <v>45326</v>
      </c>
      <c r="D46" s="5" t="s">
        <v>81</v>
      </c>
      <c r="E46" s="6">
        <v>45329</v>
      </c>
      <c r="F46" s="20">
        <v>149.99</v>
      </c>
      <c r="G46" s="5">
        <v>1</v>
      </c>
      <c r="H46" s="5">
        <f>F46*G46*$I$6</f>
        <v>14.999000000000002</v>
      </c>
      <c r="I46" s="24">
        <f>F46*G46+H46</f>
        <v>164.989</v>
      </c>
    </row>
    <row r="47" spans="2:9">
      <c r="B47" s="8" t="s">
        <v>82</v>
      </c>
      <c r="C47" s="15">
        <v>45318</v>
      </c>
      <c r="D47" s="5" t="s">
        <v>81</v>
      </c>
      <c r="E47" s="6">
        <v>45322</v>
      </c>
      <c r="F47" s="20">
        <v>39.99</v>
      </c>
      <c r="G47" s="5">
        <v>3</v>
      </c>
      <c r="H47" s="5">
        <f>F47*G47*$I$6</f>
        <v>11.997</v>
      </c>
      <c r="I47" s="24">
        <f>F47*G47+H47</f>
        <v>131.96699999999998</v>
      </c>
    </row>
    <row r="48" spans="2:9">
      <c r="B48" s="8" t="s">
        <v>83</v>
      </c>
      <c r="C48" s="15">
        <v>45314</v>
      </c>
      <c r="D48" s="5" t="s">
        <v>84</v>
      </c>
      <c r="E48" s="6">
        <v>45317</v>
      </c>
      <c r="F48" s="20">
        <v>199.99</v>
      </c>
      <c r="G48" s="5">
        <v>1</v>
      </c>
      <c r="H48" s="5">
        <f>F48*G48*$I$6</f>
        <v>19.999000000000002</v>
      </c>
      <c r="I48" s="24">
        <f>F48*G48+H48</f>
        <v>219.989</v>
      </c>
    </row>
    <row r="49" spans="2:9">
      <c r="B49" s="8" t="s">
        <v>85</v>
      </c>
      <c r="C49" s="15">
        <v>45301</v>
      </c>
      <c r="D49" s="5" t="s">
        <v>84</v>
      </c>
      <c r="E49" s="6">
        <v>45305</v>
      </c>
      <c r="F49" s="20">
        <v>29.99</v>
      </c>
      <c r="G49" s="5">
        <v>5</v>
      </c>
      <c r="H49" s="5">
        <f>F49*G49*$I$6</f>
        <v>14.994999999999999</v>
      </c>
      <c r="I49" s="24">
        <f>F49*G49+H49</f>
        <v>164.94499999999999</v>
      </c>
    </row>
    <row r="50" spans="2:9">
      <c r="B50" s="8" t="s">
        <v>86</v>
      </c>
      <c r="C50" s="15">
        <v>45322</v>
      </c>
      <c r="D50" s="5" t="s">
        <v>84</v>
      </c>
      <c r="E50" s="6">
        <v>45326</v>
      </c>
      <c r="F50" s="20">
        <v>69.989999999999995</v>
      </c>
      <c r="G50" s="5">
        <v>2</v>
      </c>
      <c r="H50" s="5">
        <f>F50*G50*$I$6</f>
        <v>13.997999999999999</v>
      </c>
      <c r="I50" s="24">
        <f>F50*G50+H50</f>
        <v>153.97799999999998</v>
      </c>
    </row>
    <row r="51" spans="2:9">
      <c r="B51" s="8" t="s">
        <v>87</v>
      </c>
      <c r="C51" s="15">
        <v>45292</v>
      </c>
      <c r="D51" s="5" t="s">
        <v>88</v>
      </c>
      <c r="E51" s="6">
        <v>45295</v>
      </c>
      <c r="F51" s="20">
        <v>29.99</v>
      </c>
      <c r="G51" s="5">
        <v>1</v>
      </c>
      <c r="H51" s="5">
        <f>F51*G51*$I$6</f>
        <v>2.9990000000000001</v>
      </c>
      <c r="I51" s="24">
        <f>F51*G51+H51</f>
        <v>32.988999999999997</v>
      </c>
    </row>
    <row r="52" spans="2:9">
      <c r="B52" s="8" t="s">
        <v>89</v>
      </c>
      <c r="C52" s="15">
        <v>45300</v>
      </c>
      <c r="D52" s="5" t="s">
        <v>90</v>
      </c>
      <c r="E52" s="6">
        <v>45305</v>
      </c>
      <c r="F52" s="20">
        <v>69.989999999999995</v>
      </c>
      <c r="G52" s="5">
        <v>2</v>
      </c>
      <c r="H52" s="5">
        <f>F52*G52*$I$6</f>
        <v>13.997999999999999</v>
      </c>
      <c r="I52" s="24">
        <f>F52*G52+H52</f>
        <v>153.97799999999998</v>
      </c>
    </row>
    <row r="53" spans="2:9">
      <c r="B53" s="8" t="s">
        <v>91</v>
      </c>
      <c r="C53" s="15">
        <v>45309</v>
      </c>
      <c r="D53" s="5" t="s">
        <v>92</v>
      </c>
      <c r="E53" s="6">
        <v>45310</v>
      </c>
      <c r="F53" s="20">
        <v>39.99</v>
      </c>
      <c r="G53" s="5">
        <v>3</v>
      </c>
      <c r="H53" s="5">
        <f>F53*G53*$I$6</f>
        <v>11.997</v>
      </c>
      <c r="I53" s="24">
        <f>F53*G53+H53</f>
        <v>131.96699999999998</v>
      </c>
    </row>
    <row r="54" spans="2:9">
      <c r="B54" s="8" t="s">
        <v>93</v>
      </c>
      <c r="C54" s="15">
        <v>45317</v>
      </c>
      <c r="D54" s="5" t="s">
        <v>94</v>
      </c>
      <c r="E54" s="6">
        <v>45319</v>
      </c>
      <c r="F54" s="20">
        <v>149.99</v>
      </c>
      <c r="G54" s="5">
        <v>1</v>
      </c>
      <c r="H54" s="5">
        <f>F54*G54*$I$6</f>
        <v>14.999000000000002</v>
      </c>
      <c r="I54" s="24">
        <f>F54*G54+H54</f>
        <v>164.989</v>
      </c>
    </row>
    <row r="55" spans="2:9">
      <c r="B55" s="8" t="s">
        <v>95</v>
      </c>
      <c r="C55" s="15">
        <v>45326</v>
      </c>
      <c r="D55" s="5" t="s">
        <v>94</v>
      </c>
      <c r="E55" s="6">
        <v>45327</v>
      </c>
      <c r="F55" s="20">
        <v>129.99</v>
      </c>
      <c r="G55" s="5">
        <v>1</v>
      </c>
      <c r="H55" s="5">
        <f>F55*G55*$I$6</f>
        <v>12.999000000000002</v>
      </c>
      <c r="I55" s="24">
        <f>F55*G55+H55</f>
        <v>142.989</v>
      </c>
    </row>
    <row r="56" spans="2:9">
      <c r="B56" s="8" t="s">
        <v>96</v>
      </c>
      <c r="C56" s="15">
        <v>45305</v>
      </c>
      <c r="D56" s="5" t="s">
        <v>97</v>
      </c>
      <c r="E56" s="6">
        <v>45310</v>
      </c>
      <c r="F56" s="20">
        <v>199.99</v>
      </c>
      <c r="G56" s="5">
        <v>1</v>
      </c>
      <c r="H56" s="5">
        <f>F56*G56*$I$6</f>
        <v>19.999000000000002</v>
      </c>
      <c r="I56" s="24">
        <f>F56*G56+H56</f>
        <v>219.989</v>
      </c>
    </row>
    <row r="57" spans="2:9">
      <c r="B57" s="8" t="s">
        <v>98</v>
      </c>
      <c r="C57" s="15">
        <v>45313</v>
      </c>
      <c r="D57" s="5" t="s">
        <v>19</v>
      </c>
      <c r="E57" s="6">
        <v>45316</v>
      </c>
      <c r="F57" s="20">
        <v>69.989999999999995</v>
      </c>
      <c r="G57" s="5">
        <v>2</v>
      </c>
      <c r="H57" s="5">
        <f>F57*G57*$I$6</f>
        <v>13.997999999999999</v>
      </c>
      <c r="I57" s="24">
        <f>F57*G57+H57</f>
        <v>153.97799999999998</v>
      </c>
    </row>
    <row r="58" spans="2:9">
      <c r="B58" s="8" t="s">
        <v>99</v>
      </c>
      <c r="C58" s="15">
        <v>45293</v>
      </c>
      <c r="D58" s="5" t="s">
        <v>19</v>
      </c>
      <c r="E58" s="6">
        <v>45294</v>
      </c>
      <c r="F58" s="20">
        <v>19.989999999999998</v>
      </c>
      <c r="G58" s="5">
        <v>4</v>
      </c>
      <c r="H58" s="5">
        <f>F58*G58*$I$6</f>
        <v>7.9959999999999996</v>
      </c>
      <c r="I58" s="24">
        <f>F58*G58+H58</f>
        <v>87.955999999999989</v>
      </c>
    </row>
    <row r="59" spans="2:9">
      <c r="B59" s="8" t="s">
        <v>100</v>
      </c>
      <c r="C59" s="15">
        <v>45321</v>
      </c>
      <c r="D59" s="5" t="s">
        <v>19</v>
      </c>
      <c r="E59" s="6">
        <v>45323</v>
      </c>
      <c r="F59" s="20">
        <v>19.989999999999998</v>
      </c>
      <c r="G59" s="5">
        <v>4</v>
      </c>
      <c r="H59" s="5">
        <f>F59*G59*$I$6</f>
        <v>7.9959999999999996</v>
      </c>
      <c r="I59" s="24">
        <f>F59*G59+H59</f>
        <v>87.955999999999989</v>
      </c>
    </row>
    <row r="60" spans="2:9">
      <c r="B60" s="8" t="s">
        <v>101</v>
      </c>
      <c r="C60" s="15">
        <v>45294</v>
      </c>
      <c r="D60" s="5" t="s">
        <v>102</v>
      </c>
      <c r="E60" s="6">
        <v>45299</v>
      </c>
      <c r="F60" s="20">
        <v>149.99</v>
      </c>
      <c r="G60" s="5">
        <v>1</v>
      </c>
      <c r="H60" s="5">
        <f>F60*G60*$I$6</f>
        <v>14.999000000000002</v>
      </c>
      <c r="I60" s="24">
        <f>F60*G60+H60</f>
        <v>164.989</v>
      </c>
    </row>
    <row r="61" spans="2:9">
      <c r="B61" s="8" t="s">
        <v>103</v>
      </c>
      <c r="C61" s="15">
        <v>45304</v>
      </c>
      <c r="D61" s="5" t="s">
        <v>102</v>
      </c>
      <c r="E61" s="6">
        <v>45308</v>
      </c>
      <c r="F61" s="20">
        <v>149.99</v>
      </c>
      <c r="G61" s="5">
        <v>1</v>
      </c>
      <c r="H61" s="5">
        <f>F61*G61*$I$6</f>
        <v>14.999000000000002</v>
      </c>
      <c r="I61" s="24">
        <f>F61*G61+H61</f>
        <v>164.989</v>
      </c>
    </row>
    <row r="62" spans="2:9">
      <c r="B62" s="8" t="s">
        <v>104</v>
      </c>
      <c r="C62" s="15">
        <v>45312</v>
      </c>
      <c r="D62" s="5" t="s">
        <v>102</v>
      </c>
      <c r="E62" s="6">
        <v>45317</v>
      </c>
      <c r="F62" s="20">
        <v>129.99</v>
      </c>
      <c r="G62" s="5">
        <v>1</v>
      </c>
      <c r="H62" s="5">
        <f>F62*G62*$I$6</f>
        <v>12.999000000000002</v>
      </c>
      <c r="I62" s="24">
        <f>F62*G62+H62</f>
        <v>142.989</v>
      </c>
    </row>
    <row r="63" spans="2:9">
      <c r="B63" s="8" t="s">
        <v>105</v>
      </c>
      <c r="C63" s="15">
        <v>45316</v>
      </c>
      <c r="D63" s="5" t="s">
        <v>106</v>
      </c>
      <c r="E63" s="6">
        <v>45321</v>
      </c>
      <c r="F63" s="20">
        <v>49.99</v>
      </c>
      <c r="G63" s="5">
        <v>3</v>
      </c>
      <c r="H63" s="5">
        <f>F63*G63*$I$6</f>
        <v>14.997</v>
      </c>
      <c r="I63" s="24">
        <f>F63*G63+H63</f>
        <v>164.96699999999998</v>
      </c>
    </row>
    <row r="64" spans="2:9">
      <c r="B64" s="8" t="s">
        <v>107</v>
      </c>
      <c r="C64" s="15">
        <v>45323</v>
      </c>
      <c r="D64" s="5" t="s">
        <v>106</v>
      </c>
      <c r="E64" s="6">
        <v>45325</v>
      </c>
      <c r="F64" s="20">
        <v>29.99</v>
      </c>
      <c r="G64" s="5">
        <v>5</v>
      </c>
      <c r="H64" s="5">
        <f>F64*G64*$I$6</f>
        <v>14.994999999999999</v>
      </c>
      <c r="I64" s="24">
        <f>F64*G64+H64</f>
        <v>164.94499999999999</v>
      </c>
    </row>
    <row r="65" spans="2:9">
      <c r="B65" s="8" t="s">
        <v>108</v>
      </c>
      <c r="C65" s="15">
        <v>45320</v>
      </c>
      <c r="D65" s="5" t="s">
        <v>109</v>
      </c>
      <c r="E65" s="6">
        <v>45321</v>
      </c>
      <c r="F65" s="20">
        <v>79.989999999999995</v>
      </c>
      <c r="G65" s="5">
        <v>2</v>
      </c>
      <c r="H65" s="5">
        <f>F65*G65*$I$6</f>
        <v>15.997999999999999</v>
      </c>
      <c r="I65" s="24">
        <f>F65*G65+H65</f>
        <v>175.97799999999998</v>
      </c>
    </row>
    <row r="66" spans="2:9">
      <c r="B66" s="8" t="s">
        <v>110</v>
      </c>
      <c r="C66" s="15">
        <v>45308</v>
      </c>
      <c r="D66" s="5" t="s">
        <v>111</v>
      </c>
      <c r="E66" s="6">
        <v>45310</v>
      </c>
      <c r="F66" s="20">
        <v>19.989999999999998</v>
      </c>
      <c r="G66" s="5">
        <v>4</v>
      </c>
      <c r="H66" s="5">
        <f>F66*G66*$I$6</f>
        <v>7.9959999999999996</v>
      </c>
      <c r="I66" s="24">
        <f>F66*G66+H66</f>
        <v>87.955999999999989</v>
      </c>
    </row>
    <row r="67" spans="2:9">
      <c r="B67" s="8" t="s">
        <v>112</v>
      </c>
      <c r="C67" s="15">
        <v>45306</v>
      </c>
      <c r="D67" s="5" t="s">
        <v>113</v>
      </c>
      <c r="E67" s="6">
        <v>45310</v>
      </c>
      <c r="F67" s="20">
        <v>29.99</v>
      </c>
      <c r="G67" s="5">
        <v>5</v>
      </c>
      <c r="H67" s="5">
        <f>F67*G67*$I$6</f>
        <v>14.994999999999999</v>
      </c>
      <c r="I67" s="24">
        <f>F67*G67+H67</f>
        <v>164.94499999999999</v>
      </c>
    </row>
    <row r="68" spans="2:9">
      <c r="B68" s="8" t="s">
        <v>114</v>
      </c>
      <c r="C68" s="15">
        <v>45301</v>
      </c>
      <c r="D68" s="5" t="s">
        <v>115</v>
      </c>
      <c r="E68" s="6">
        <v>45302</v>
      </c>
      <c r="F68" s="20">
        <v>199.99</v>
      </c>
      <c r="G68" s="5">
        <v>1</v>
      </c>
      <c r="H68" s="5">
        <f>F68*G68*$I$6</f>
        <v>19.999000000000002</v>
      </c>
      <c r="I68" s="24">
        <f>F68*G68+H68</f>
        <v>219.989</v>
      </c>
    </row>
    <row r="69" spans="2:9">
      <c r="B69" s="8" t="s">
        <v>116</v>
      </c>
      <c r="C69" s="15">
        <v>45295</v>
      </c>
      <c r="D69" s="5" t="s">
        <v>117</v>
      </c>
      <c r="E69" s="6">
        <v>45297</v>
      </c>
      <c r="F69" s="20">
        <v>39.99</v>
      </c>
      <c r="G69" s="5">
        <v>3</v>
      </c>
      <c r="H69" s="5">
        <f>F69*G69*$I$6</f>
        <v>11.997</v>
      </c>
      <c r="I69" s="24">
        <f>F69*G69+H69</f>
        <v>131.96699999999998</v>
      </c>
    </row>
    <row r="70" spans="2:9">
      <c r="B70" s="8" t="s">
        <v>118</v>
      </c>
      <c r="C70" s="15">
        <v>45322</v>
      </c>
      <c r="D70" s="5" t="s">
        <v>119</v>
      </c>
      <c r="E70" s="6">
        <v>45324</v>
      </c>
      <c r="F70" s="20">
        <v>149.99</v>
      </c>
      <c r="G70" s="5">
        <v>1</v>
      </c>
      <c r="H70" s="5">
        <f>F70*G70*$I$6</f>
        <v>14.999000000000002</v>
      </c>
      <c r="I70" s="24">
        <f>F70*G70+H70</f>
        <v>164.989</v>
      </c>
    </row>
    <row r="71" spans="2:9">
      <c r="B71" s="8" t="s">
        <v>120</v>
      </c>
      <c r="C71" s="15">
        <v>45314</v>
      </c>
      <c r="D71" s="5" t="s">
        <v>119</v>
      </c>
      <c r="E71" s="6">
        <v>45318</v>
      </c>
      <c r="F71" s="20">
        <v>39.99</v>
      </c>
      <c r="G71" s="5">
        <v>3</v>
      </c>
      <c r="H71" s="5">
        <f>F71*G71*$I$6</f>
        <v>11.997</v>
      </c>
      <c r="I71" s="24">
        <f>F71*G71+H71</f>
        <v>131.96699999999998</v>
      </c>
    </row>
    <row r="72" spans="2:9">
      <c r="B72" s="8" t="s">
        <v>121</v>
      </c>
      <c r="C72" s="15">
        <v>45310</v>
      </c>
      <c r="D72" s="5" t="s">
        <v>122</v>
      </c>
      <c r="E72" s="6">
        <v>45311</v>
      </c>
      <c r="F72" s="20">
        <v>199.99</v>
      </c>
      <c r="G72" s="5">
        <v>1</v>
      </c>
      <c r="H72" s="5">
        <f>F72*G72*$I$6</f>
        <v>19.999000000000002</v>
      </c>
      <c r="I72" s="24">
        <f>F72*G72+H72</f>
        <v>219.989</v>
      </c>
    </row>
    <row r="73" spans="2:9">
      <c r="B73" s="8" t="s">
        <v>123</v>
      </c>
      <c r="C73" s="15">
        <v>45318</v>
      </c>
      <c r="D73" s="5" t="s">
        <v>124</v>
      </c>
      <c r="E73" s="6">
        <v>45322</v>
      </c>
      <c r="F73" s="20">
        <v>69.989999999999995</v>
      </c>
      <c r="G73" s="5">
        <v>2</v>
      </c>
      <c r="H73" s="5">
        <f>F73*G73*$I$6</f>
        <v>13.997999999999999</v>
      </c>
      <c r="I73" s="24">
        <f>F73*G73+H73</f>
        <v>153.97799999999998</v>
      </c>
    </row>
    <row r="74" spans="2:9">
      <c r="B74" s="8" t="s">
        <v>125</v>
      </c>
      <c r="C74" s="15">
        <v>45326</v>
      </c>
      <c r="D74" s="5" t="s">
        <v>124</v>
      </c>
      <c r="E74" s="6">
        <v>45330</v>
      </c>
      <c r="F74" s="20">
        <v>19.989999999999998</v>
      </c>
      <c r="G74" s="5">
        <v>4</v>
      </c>
      <c r="H74" s="5">
        <f>F74*G74*$I$6</f>
        <v>7.9959999999999996</v>
      </c>
      <c r="I74" s="24">
        <f>F74*G74+H74</f>
        <v>87.955999999999989</v>
      </c>
    </row>
    <row r="75" spans="2:9">
      <c r="B75" s="8" t="s">
        <v>126</v>
      </c>
      <c r="C75" s="15">
        <v>45296</v>
      </c>
      <c r="D75" s="5" t="s">
        <v>127</v>
      </c>
      <c r="E75" s="6">
        <v>45297</v>
      </c>
      <c r="F75" s="20">
        <v>89.99</v>
      </c>
      <c r="G75" s="5">
        <v>1</v>
      </c>
      <c r="H75" s="5">
        <f>F75*G75*$I$6</f>
        <v>8.9990000000000006</v>
      </c>
      <c r="I75" s="24">
        <f>F75*G75+H75</f>
        <v>98.98899999999999</v>
      </c>
    </row>
    <row r="76" spans="2:9">
      <c r="B76" s="8" t="s">
        <v>128</v>
      </c>
      <c r="C76" s="15">
        <v>45303</v>
      </c>
      <c r="D76" s="5" t="s">
        <v>129</v>
      </c>
      <c r="E76" s="6">
        <v>45308</v>
      </c>
      <c r="F76" s="20">
        <v>129.99</v>
      </c>
      <c r="G76" s="5">
        <v>1</v>
      </c>
      <c r="H76" s="5">
        <f>F76*G76*$I$6</f>
        <v>12.999000000000002</v>
      </c>
      <c r="I76" s="24">
        <f>F76*G76+H76</f>
        <v>142.989</v>
      </c>
    </row>
    <row r="77" spans="2:9">
      <c r="B77" s="8" t="s">
        <v>130</v>
      </c>
      <c r="C77" s="15">
        <v>45302</v>
      </c>
      <c r="D77" s="5" t="s">
        <v>131</v>
      </c>
      <c r="E77" s="6">
        <v>45306</v>
      </c>
      <c r="F77" s="20">
        <v>49.99</v>
      </c>
      <c r="G77" s="5">
        <v>3</v>
      </c>
      <c r="H77" s="5">
        <f>F77*G77*$I$6</f>
        <v>14.997</v>
      </c>
      <c r="I77" s="24">
        <f>F77*G77+H77</f>
        <v>164.96699999999998</v>
      </c>
    </row>
    <row r="78" spans="2:9">
      <c r="B78" s="9" t="s">
        <v>132</v>
      </c>
      <c r="C78" s="16">
        <v>45299</v>
      </c>
      <c r="D78" s="11" t="s">
        <v>133</v>
      </c>
      <c r="E78" s="10">
        <v>45303</v>
      </c>
      <c r="F78" s="21">
        <v>149.99</v>
      </c>
      <c r="G78" s="11">
        <v>1</v>
      </c>
      <c r="H78" s="11">
        <f>F78*G78*$I$6</f>
        <v>14.999000000000002</v>
      </c>
      <c r="I78" s="25">
        <f>F78*G78+H78</f>
        <v>164.989</v>
      </c>
    </row>
    <row r="79" spans="2:9">
      <c r="B79" s="9"/>
      <c r="C79" s="16"/>
      <c r="D79" s="11"/>
      <c r="E79" s="10"/>
      <c r="F79" s="21"/>
      <c r="G79" s="11"/>
      <c r="H79" s="11">
        <f>SUM(Table1[Tax (USD)])</f>
        <v>986.83200000000045</v>
      </c>
      <c r="I79" s="25"/>
    </row>
    <row r="80" spans="2:9">
      <c r="F80" s="18" t="s">
        <v>134</v>
      </c>
    </row>
    <row r="81" spans="6:6">
      <c r="F81" s="18">
        <f>MIN(Table1[Retail Price (USD)])</f>
        <v>19.989999999999998</v>
      </c>
    </row>
  </sheetData>
  <conditionalFormatting sqref="I1:I1048576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{9AA4687B-1238-4DCF-A933-F6BDDB34A1D7}</x14:id>
        </ext>
      </extLst>
    </cfRule>
  </conditionalFormatting>
  <conditionalFormatting sqref="I1:I104857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{51C95CC6-83B3-4167-9146-9964524E36D7}</x14:id>
        </ext>
      </extLst>
    </cfRule>
  </conditionalFormatting>
  <conditionalFormatting sqref="F9:F78">
    <cfRule type="cellIs" dxfId="23" priority="9" operator="lessThan">
      <formula>25</formula>
    </cfRule>
  </conditionalFormatting>
  <conditionalFormatting sqref="L8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{693BBB47-626B-443B-98E7-292164B9AE52}</x14:id>
        </ext>
      </extLst>
    </cfRule>
  </conditionalFormatting>
  <conditionalFormatting sqref="L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{678CB616-07AB-4308-BDFE-6ACFAC6C57E4}</x14:id>
        </ext>
      </extLst>
    </cfRule>
  </conditionalFormatting>
  <conditionalFormatting sqref="I1:I1048576">
    <cfRule type="top10" dxfId="22" priority="6" rank="1"/>
  </conditionalFormatting>
  <conditionalFormatting sqref="I9:I78">
    <cfRule type="top10" dxfId="21" priority="5" rank="1"/>
  </conditionalFormatting>
  <conditionalFormatting sqref="L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{DC01E058-D2DD-48AE-A560-BF9B1F65B730}</x14:id>
        </ext>
      </extLst>
    </cfRule>
  </conditionalFormatting>
  <conditionalFormatting sqref="L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{15C0A01C-AF65-4046-A42A-66337280A0BC}</x14:id>
        </ext>
      </extLst>
    </cfRule>
  </conditionalFormatting>
  <conditionalFormatting sqref="L9">
    <cfRule type="top10" dxfId="20" priority="2" rank="1"/>
  </conditionalFormatting>
  <conditionalFormatting sqref="L9">
    <cfRule type="top10" dxfId="19" priority="1" rank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A4687B-1238-4DCF-A933-F6BDDB34A1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51C95CC6-83B3-4167-9146-9964524E36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693BBB47-626B-443B-98E7-292164B9AE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78CB616-07AB-4308-BDFE-6ACFAC6C57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C01E058-D2DD-48AE-A560-BF9B1F65B7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C0A01C-AF65-4046-A42A-66337280A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Seemanto Saha</dc:creator>
  <cp:keywords/>
  <dc:description/>
  <cp:lastModifiedBy/>
  <cp:revision/>
  <dcterms:created xsi:type="dcterms:W3CDTF">2024-02-19T11:17:54Z</dcterms:created>
  <dcterms:modified xsi:type="dcterms:W3CDTF">2026-03-11T09:48:44Z</dcterms:modified>
  <cp:category/>
  <cp:contentStatus/>
</cp:coreProperties>
</file>