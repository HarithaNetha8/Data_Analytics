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hidePivotFieldList="1" defaultThemeVersion="166925"/>
  <xr:revisionPtr revIDLastSave="0" documentId="8_{6A86DCAC-C120-4894-82FD-F5210CF97557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Sheet2" sheetId="5" r:id="rId1"/>
    <sheet name="basics, formatting, sorting, fi" sheetId="1" r:id="rId2"/>
    <sheet name="formulas &amp; functions" sheetId="2" r:id="rId3"/>
    <sheet name="Text functions, logical functio" sheetId="3" r:id="rId4"/>
    <sheet name="Sheet1" sheetId="4" r:id="rId5"/>
    <sheet name="salesdashboard" sheetId="6" r:id="rId6"/>
    <sheet name="Sheet3" sheetId="7" r:id="rId7"/>
  </sheets>
  <definedNames>
    <definedName name="Slicer_Category">#N/A</definedName>
    <definedName name="Slicer_Salesperson">#N/A</definedName>
    <definedName name="Slicer_Salesperson1">#N/A</definedName>
  </definedNames>
  <calcPr calcId="191028"/>
  <pivotCaches>
    <pivotCache cacheId="5140" r:id="rId8"/>
    <pivotCache cacheId="5141" r:id="rId9"/>
    <pivotCache cacheId="514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6" l="1"/>
  <c r="J25" i="6"/>
  <c r="J2" i="6"/>
  <c r="J3" i="6"/>
  <c r="J26" i="6"/>
  <c r="J27" i="6"/>
  <c r="J4" i="6"/>
  <c r="J5" i="6"/>
  <c r="J28" i="6"/>
  <c r="J29" i="6"/>
  <c r="J6" i="6"/>
  <c r="J7" i="6"/>
  <c r="J30" i="6"/>
  <c r="J31" i="6"/>
  <c r="J8" i="6"/>
  <c r="L8" i="6" s="1"/>
  <c r="J9" i="6"/>
  <c r="L9" i="6" s="1"/>
  <c r="J32" i="6"/>
  <c r="L32" i="6" s="1"/>
  <c r="J33" i="6"/>
  <c r="L33" i="6" s="1"/>
  <c r="J10" i="6"/>
  <c r="L10" i="6" s="1"/>
  <c r="J11" i="6"/>
  <c r="L11" i="6" s="1"/>
  <c r="J34" i="6"/>
  <c r="L34" i="6" s="1"/>
  <c r="J35" i="6"/>
  <c r="L35" i="6" s="1"/>
  <c r="J12" i="6"/>
  <c r="L12" i="6" s="1"/>
  <c r="J13" i="6"/>
  <c r="L13" i="6" s="1"/>
  <c r="J36" i="6"/>
  <c r="L36" i="6" s="1"/>
  <c r="J37" i="6"/>
  <c r="L37" i="6" s="1"/>
  <c r="J14" i="6"/>
  <c r="L14" i="6" s="1"/>
  <c r="J15" i="6"/>
  <c r="L15" i="6" s="1"/>
  <c r="J38" i="6"/>
  <c r="L38" i="6" s="1"/>
  <c r="J39" i="6"/>
  <c r="L39" i="6" s="1"/>
  <c r="J16" i="6"/>
  <c r="L16" i="6" s="1"/>
  <c r="J17" i="6"/>
  <c r="L17" i="6" s="1"/>
  <c r="J40" i="6"/>
  <c r="L40" i="6" s="1"/>
  <c r="J41" i="6"/>
  <c r="L41" i="6" s="1"/>
  <c r="J18" i="6"/>
  <c r="L18" i="6" s="1"/>
  <c r="J19" i="6"/>
  <c r="L19" i="6" s="1"/>
  <c r="J42" i="6"/>
  <c r="L42" i="6" s="1"/>
  <c r="J43" i="6"/>
  <c r="L43" i="6" s="1"/>
  <c r="J20" i="6"/>
  <c r="L20" i="6" s="1"/>
  <c r="J21" i="6"/>
  <c r="L21" i="6" s="1"/>
  <c r="J44" i="6"/>
  <c r="L44" i="6" s="1"/>
  <c r="J45" i="6"/>
  <c r="L45" i="6" s="1"/>
  <c r="J22" i="6"/>
  <c r="L22" i="6" s="1"/>
  <c r="J23" i="6"/>
  <c r="L23" i="6" s="1"/>
  <c r="K24" i="6"/>
  <c r="K25" i="6"/>
  <c r="K2" i="6"/>
  <c r="K3" i="6"/>
  <c r="K26" i="6"/>
  <c r="K27" i="6"/>
  <c r="K4" i="6"/>
  <c r="K5" i="6"/>
  <c r="K28" i="6"/>
  <c r="K29" i="6"/>
  <c r="K6" i="6"/>
  <c r="K7" i="6"/>
  <c r="K30" i="6"/>
  <c r="K31" i="6"/>
  <c r="K8" i="6"/>
  <c r="K9" i="6"/>
  <c r="K32" i="6"/>
  <c r="K33" i="6"/>
  <c r="K10" i="6"/>
  <c r="K11" i="6"/>
  <c r="K34" i="6"/>
  <c r="K35" i="6"/>
  <c r="K12" i="6"/>
  <c r="K13" i="6"/>
  <c r="K36" i="6"/>
  <c r="K37" i="6"/>
  <c r="K14" i="6"/>
  <c r="K15" i="6"/>
  <c r="K38" i="6"/>
  <c r="K39" i="6"/>
  <c r="K16" i="6"/>
  <c r="K17" i="6"/>
  <c r="K40" i="6"/>
  <c r="K41" i="6"/>
  <c r="K18" i="6"/>
  <c r="K19" i="6"/>
  <c r="K42" i="6"/>
  <c r="K43" i="6"/>
  <c r="K20" i="6"/>
  <c r="K21" i="6"/>
  <c r="K44" i="6"/>
  <c r="K45" i="6"/>
  <c r="K22" i="6"/>
  <c r="K23" i="6"/>
  <c r="L24" i="6"/>
  <c r="L25" i="6"/>
  <c r="L2" i="6"/>
  <c r="L3" i="6"/>
  <c r="L26" i="6"/>
  <c r="L27" i="6"/>
  <c r="L4" i="6"/>
  <c r="L5" i="6"/>
  <c r="L28" i="6"/>
  <c r="L29" i="6"/>
  <c r="L6" i="6"/>
  <c r="L7" i="6"/>
  <c r="L30" i="6"/>
  <c r="L31" i="6"/>
  <c r="I4" i="4"/>
  <c r="I5" i="4"/>
  <c r="I6" i="4"/>
  <c r="H6" i="4"/>
  <c r="H4" i="4"/>
  <c r="H5" i="4"/>
  <c r="G4" i="4"/>
  <c r="G5" i="4"/>
  <c r="G6" i="4"/>
  <c r="C9" i="4"/>
  <c r="C8" i="4"/>
  <c r="P6" i="3"/>
  <c r="P7" i="3"/>
  <c r="P8" i="3"/>
  <c r="P9" i="3"/>
  <c r="P10" i="3"/>
  <c r="P11" i="3"/>
  <c r="O6" i="3"/>
  <c r="O7" i="3"/>
  <c r="O8" i="3"/>
  <c r="O9" i="3"/>
  <c r="O10" i="3"/>
  <c r="O11" i="3"/>
  <c r="N6" i="3"/>
  <c r="N7" i="3"/>
  <c r="N8" i="3"/>
  <c r="N9" i="3"/>
  <c r="N10" i="3"/>
  <c r="N11" i="3"/>
  <c r="M6" i="3"/>
  <c r="M7" i="3"/>
  <c r="M8" i="3"/>
  <c r="M9" i="3"/>
  <c r="M10" i="3"/>
  <c r="M11" i="3"/>
  <c r="L9" i="3"/>
  <c r="L6" i="3"/>
  <c r="L7" i="3"/>
  <c r="L8" i="3"/>
  <c r="L10" i="3"/>
  <c r="L11" i="3"/>
  <c r="K6" i="3"/>
  <c r="K7" i="3"/>
  <c r="K8" i="3"/>
  <c r="K9" i="3"/>
  <c r="K10" i="3"/>
  <c r="K11" i="3"/>
  <c r="J6" i="3"/>
  <c r="J7" i="3"/>
  <c r="J8" i="3"/>
  <c r="J9" i="3"/>
  <c r="J10" i="3"/>
  <c r="J11" i="3"/>
  <c r="I6" i="3"/>
  <c r="I7" i="3"/>
  <c r="I8" i="3"/>
  <c r="I9" i="3"/>
  <c r="I10" i="3"/>
  <c r="I11" i="3"/>
  <c r="H6" i="3"/>
  <c r="H7" i="3"/>
  <c r="H8" i="3"/>
  <c r="H9" i="3"/>
  <c r="H10" i="3"/>
  <c r="H11" i="3"/>
  <c r="D12" i="2"/>
  <c r="D11" i="2"/>
  <c r="F12" i="2"/>
  <c r="D10" i="2"/>
  <c r="F11" i="2"/>
  <c r="F10" i="2"/>
  <c r="D9" i="2"/>
  <c r="F9" i="2"/>
  <c r="G5" i="2"/>
  <c r="G6" i="2"/>
  <c r="G7" i="2"/>
  <c r="G8" i="2"/>
  <c r="N6" i="2"/>
  <c r="N7" i="2"/>
  <c r="N8" i="2"/>
  <c r="N5" i="2"/>
  <c r="L6" i="2"/>
  <c r="L7" i="2"/>
  <c r="L8" i="2"/>
  <c r="G12" i="2" s="1"/>
  <c r="L5" i="2"/>
  <c r="M5" i="2" s="1" a="1"/>
  <c r="M5" i="2" s="1"/>
  <c r="K4" i="1"/>
  <c r="K3" i="1"/>
  <c r="K5" i="1"/>
  <c r="K6" i="1"/>
  <c r="K7" i="1"/>
  <c r="K8" i="1"/>
  <c r="L46" i="6" l="1"/>
  <c r="J46" i="6"/>
  <c r="H5" i="2"/>
  <c r="I5" i="2" s="1"/>
  <c r="J5" i="2" s="1"/>
  <c r="G9" i="2"/>
  <c r="H8" i="2"/>
  <c r="I8" i="2" s="1"/>
  <c r="J8" i="2" s="1"/>
  <c r="H7" i="2"/>
  <c r="I7" i="2" s="1"/>
  <c r="J7" i="2" s="1"/>
  <c r="H6" i="2"/>
  <c r="I6" i="2" s="1"/>
  <c r="J6" i="2" s="1"/>
  <c r="M8" i="2" a="1"/>
  <c r="M8" i="2" s="1"/>
  <c r="G11" i="2"/>
  <c r="M7" i="2" a="1"/>
  <c r="M7" i="2" s="1"/>
  <c r="G10" i="2"/>
  <c r="M6" i="2" a="1"/>
  <c r="M6" i="2" s="1"/>
  <c r="K13" i="1"/>
  <c r="K12" i="1"/>
  <c r="K11" i="1"/>
  <c r="K10" i="1"/>
  <c r="L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<sst xmlns="http://schemas.openxmlformats.org/spreadsheetml/2006/main" count="437" uniqueCount="184">
  <si>
    <t>Customer_Name</t>
  </si>
  <si>
    <t>Sum of Total</t>
  </si>
  <si>
    <t>Sum of Quantity</t>
  </si>
  <si>
    <t>Aman</t>
  </si>
  <si>
    <t>Rahul</t>
  </si>
  <si>
    <t>Suresh</t>
  </si>
  <si>
    <t>Grand Total</t>
  </si>
  <si>
    <t>Discount_%</t>
  </si>
  <si>
    <t>Product_ID</t>
  </si>
  <si>
    <t>P101</t>
  </si>
  <si>
    <t>P102</t>
  </si>
  <si>
    <t>P103</t>
  </si>
  <si>
    <t>P104</t>
  </si>
  <si>
    <t>Order_ID</t>
  </si>
  <si>
    <t>Order_Date</t>
  </si>
  <si>
    <t>City</t>
  </si>
  <si>
    <t>Quantity</t>
  </si>
  <si>
    <t>Unit_Price</t>
  </si>
  <si>
    <t>Salesperson</t>
  </si>
  <si>
    <t>Total</t>
  </si>
  <si>
    <t>O1001</t>
  </si>
  <si>
    <t>Bangalore</t>
  </si>
  <si>
    <t>meena</t>
  </si>
  <si>
    <t>O1002</t>
  </si>
  <si>
    <t>Anjali</t>
  </si>
  <si>
    <t>Chennai</t>
  </si>
  <si>
    <t>ajay</t>
  </si>
  <si>
    <t>O1003</t>
  </si>
  <si>
    <t>Hyderabad</t>
  </si>
  <si>
    <t>O1004</t>
  </si>
  <si>
    <t>Priya</t>
  </si>
  <si>
    <t>Mumbai</t>
  </si>
  <si>
    <t>ravi</t>
  </si>
  <si>
    <t>O1005</t>
  </si>
  <si>
    <t>Delhi</t>
  </si>
  <si>
    <t>O1006</t>
  </si>
  <si>
    <t>Neha</t>
  </si>
  <si>
    <t>methods</t>
  </si>
  <si>
    <t>value</t>
  </si>
  <si>
    <t>SALES DATA</t>
  </si>
  <si>
    <t>sum</t>
  </si>
  <si>
    <t>avg</t>
  </si>
  <si>
    <t>median</t>
  </si>
  <si>
    <t>mode</t>
  </si>
  <si>
    <t>(For VLOOKUP, XLOOKUP, INDEX MATCH)</t>
  </si>
  <si>
    <t>Product_Name</t>
  </si>
  <si>
    <t>Category</t>
  </si>
  <si>
    <t>Cost_Price</t>
  </si>
  <si>
    <t>Gross_Sale</t>
  </si>
  <si>
    <t>Discount_Amount</t>
  </si>
  <si>
    <t>Net_Sales</t>
  </si>
  <si>
    <t>Profit</t>
  </si>
  <si>
    <t>Product Name</t>
  </si>
  <si>
    <t>Mouse</t>
  </si>
  <si>
    <t>Electronics</t>
  </si>
  <si>
    <t>Keyboard</t>
  </si>
  <si>
    <t>Chair</t>
  </si>
  <si>
    <t>Furniture</t>
  </si>
  <si>
    <t>Desk</t>
  </si>
  <si>
    <t>max</t>
  </si>
  <si>
    <t>total</t>
  </si>
  <si>
    <t>vlookup</t>
  </si>
  <si>
    <t>xlookup</t>
  </si>
  <si>
    <t>calculate</t>
  </si>
  <si>
    <t>min</t>
  </si>
  <si>
    <t>maxif</t>
  </si>
  <si>
    <t>if</t>
  </si>
  <si>
    <t>sumif</t>
  </si>
  <si>
    <t>index</t>
  </si>
  <si>
    <t>match</t>
  </si>
  <si>
    <t>Customer_ID</t>
  </si>
  <si>
    <t>Fname</t>
  </si>
  <si>
    <t>Email</t>
  </si>
  <si>
    <t>Phone</t>
  </si>
  <si>
    <t>Left</t>
  </si>
  <si>
    <t>RIGHT</t>
  </si>
  <si>
    <t>MID</t>
  </si>
  <si>
    <t>LEN,</t>
  </si>
  <si>
    <t>FIND</t>
  </si>
  <si>
    <t>CONCAT</t>
  </si>
  <si>
    <t>TEXTJOIN</t>
  </si>
  <si>
    <t>LOWER</t>
  </si>
  <si>
    <t>UPPER</t>
  </si>
  <si>
    <t>C101</t>
  </si>
  <si>
    <t>kesar</t>
  </si>
  <si>
    <t>Rahul Sharma</t>
  </si>
  <si>
    <t>rahul@gmail.com</t>
  </si>
  <si>
    <t>C102</t>
  </si>
  <si>
    <t>tica</t>
  </si>
  <si>
    <t>Anjali Rao</t>
  </si>
  <si>
    <t>anjali@yahoo.com</t>
  </si>
  <si>
    <t>C103</t>
  </si>
  <si>
    <t>penta</t>
  </si>
  <si>
    <t>Suresh Kumar</t>
  </si>
  <si>
    <t>suresh@outlook.com</t>
  </si>
  <si>
    <t>C104</t>
  </si>
  <si>
    <t>sonta</t>
  </si>
  <si>
    <t>cinta</t>
  </si>
  <si>
    <t>cintu@mail.com</t>
  </si>
  <si>
    <t>C105</t>
  </si>
  <si>
    <t>maca</t>
  </si>
  <si>
    <t>eravii</t>
  </si>
  <si>
    <t>eravii@yaoo.com</t>
  </si>
  <si>
    <t>C106</t>
  </si>
  <si>
    <t>buma</t>
  </si>
  <si>
    <t>siva</t>
  </si>
  <si>
    <t>siva@outlook.com</t>
  </si>
  <si>
    <t>Emp_Name</t>
  </si>
  <si>
    <t>Date</t>
  </si>
  <si>
    <t>Login_Time</t>
  </si>
  <si>
    <t>Logout_Time</t>
  </si>
  <si>
    <t>mont</t>
  </si>
  <si>
    <t>date2</t>
  </si>
  <si>
    <t>diff</t>
  </si>
  <si>
    <t>Ajay</t>
  </si>
  <si>
    <t>Meena</t>
  </si>
  <si>
    <t>Kiran</t>
  </si>
  <si>
    <t>Product</t>
  </si>
  <si>
    <t>Total Sales</t>
  </si>
  <si>
    <t>Total Cost</t>
  </si>
  <si>
    <t>O1007</t>
  </si>
  <si>
    <t>O1008</t>
  </si>
  <si>
    <t>15-03-2024</t>
  </si>
  <si>
    <t>O1011</t>
  </si>
  <si>
    <t>15-04-2024</t>
  </si>
  <si>
    <t>O1012</t>
  </si>
  <si>
    <t>22-04-2024</t>
  </si>
  <si>
    <t>O1015</t>
  </si>
  <si>
    <t>18-05-2024</t>
  </si>
  <si>
    <t>O1016</t>
  </si>
  <si>
    <t>27-05-2024</t>
  </si>
  <si>
    <t>O1019</t>
  </si>
  <si>
    <t>19-06-2024</t>
  </si>
  <si>
    <t>O1020</t>
  </si>
  <si>
    <t>28-06-2024</t>
  </si>
  <si>
    <t>O1023</t>
  </si>
  <si>
    <t>20-07-2024</t>
  </si>
  <si>
    <t>O1024</t>
  </si>
  <si>
    <t>29-07-2024</t>
  </si>
  <si>
    <t>O1027</t>
  </si>
  <si>
    <t>21-08-2024</t>
  </si>
  <si>
    <t>O1028</t>
  </si>
  <si>
    <t>29-08-2024</t>
  </si>
  <si>
    <t>O1031</t>
  </si>
  <si>
    <t>18-09-2024</t>
  </si>
  <si>
    <t>O1032</t>
  </si>
  <si>
    <t>27-09-2024</t>
  </si>
  <si>
    <t>O1035</t>
  </si>
  <si>
    <t>19-10-2024</t>
  </si>
  <si>
    <t>O1036</t>
  </si>
  <si>
    <t>28-10-2024</t>
  </si>
  <si>
    <t>O1039</t>
  </si>
  <si>
    <t>20-11-2024</t>
  </si>
  <si>
    <t>O1040</t>
  </si>
  <si>
    <t>29-11-2024</t>
  </si>
  <si>
    <t>O1043</t>
  </si>
  <si>
    <t>18-12-2024</t>
  </si>
  <si>
    <t>O1044</t>
  </si>
  <si>
    <t>27-12-2024</t>
  </si>
  <si>
    <t>18-02-2024</t>
  </si>
  <si>
    <t>25-02-2024</t>
  </si>
  <si>
    <t>O1009</t>
  </si>
  <si>
    <t>O1010</t>
  </si>
  <si>
    <t>O1013</t>
  </si>
  <si>
    <t>O1014</t>
  </si>
  <si>
    <t>O1017</t>
  </si>
  <si>
    <t>O1018</t>
  </si>
  <si>
    <t>O1021</t>
  </si>
  <si>
    <t>O1022</t>
  </si>
  <si>
    <t>O1025</t>
  </si>
  <si>
    <t>O1026</t>
  </si>
  <si>
    <t>14-08-2024</t>
  </si>
  <si>
    <t>O1029</t>
  </si>
  <si>
    <t>O1030</t>
  </si>
  <si>
    <t>O1033</t>
  </si>
  <si>
    <t>O1034</t>
  </si>
  <si>
    <t>O1037</t>
  </si>
  <si>
    <t>O1038</t>
  </si>
  <si>
    <t>O1041</t>
  </si>
  <si>
    <t>O1042</t>
  </si>
  <si>
    <t>(Multiple Items)</t>
  </si>
  <si>
    <t>Sum of Total Sales</t>
  </si>
  <si>
    <t>Sum of Profit</t>
  </si>
  <si>
    <t>Count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</si>
</sst>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409]d\-mmm;@"/>
    <numFmt numFmtId="166" formatCode="yyyy\-mm\-dd;@"/>
    <numFmt numFmtId="167" formatCode="[$-F400]h:mm:ss\ AM/PM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</font>
    <font>
      <sz val="11"/>
      <color theme="1"/>
      <name val="Cambria"/>
    </font>
    <font>
      <b/>
      <sz val="14"/>
      <color rgb="FF000000"/>
      <name val="Calibri"/>
      <scheme val="minor"/>
    </font>
    <font>
      <sz val="11"/>
      <color theme="1"/>
      <name val="Arial"/>
    </font>
    <font>
      <b/>
      <sz val="11"/>
      <color theme="1"/>
      <name val="Cambria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14" fontId="3" fillId="0" borderId="0" xfId="0" applyNumberFormat="1" applyFont="1"/>
    <xf numFmtId="164" fontId="0" fillId="0" borderId="0" xfId="0" applyNumberFormat="1"/>
    <xf numFmtId="9" fontId="0" fillId="0" borderId="0" xfId="0" applyNumberFormat="1"/>
    <xf numFmtId="0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0" fillId="0" borderId="1" xfId="0" applyFont="1" applyBorder="1"/>
    <xf numFmtId="0" fontId="0" fillId="0" borderId="2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9" fillId="4" borderId="1" xfId="0" applyFont="1" applyFill="1" applyBorder="1"/>
    <xf numFmtId="0" fontId="0" fillId="0" borderId="0" xfId="0" applyAlignment="1">
      <alignment horizontal="right"/>
    </xf>
    <xf numFmtId="0" fontId="1" fillId="0" borderId="0" xfId="1"/>
    <xf numFmtId="20" fontId="0" fillId="0" borderId="0" xfId="0" applyNumberFormat="1"/>
    <xf numFmtId="22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2" fillId="0" borderId="0" xfId="0" applyNumberFormat="1" applyFont="1"/>
    <xf numFmtId="167" fontId="0" fillId="0" borderId="0" xfId="0" applyNumberFormat="1"/>
    <xf numFmtId="0" fontId="0" fillId="0" borderId="0" xfId="0" pivotButton="1"/>
    <xf numFmtId="14" fontId="2" fillId="0" borderId="0" xfId="0" applyNumberFormat="1" applyFont="1"/>
    <xf numFmtId="166" fontId="0" fillId="0" borderId="0" xfId="0" applyNumberFormat="1" applyAlignment="1">
      <alignment horizontal="right"/>
    </xf>
    <xf numFmtId="0" fontId="8" fillId="2" borderId="0" xfId="0" applyFont="1" applyFill="1"/>
    <xf numFmtId="0" fontId="0" fillId="2" borderId="0" xfId="0" applyFill="1" applyBorder="1"/>
    <xf numFmtId="0" fontId="0" fillId="2" borderId="3" xfId="0" applyFill="1" applyBorder="1"/>
    <xf numFmtId="0" fontId="0" fillId="6" borderId="0" xfId="0" applyFill="1"/>
    <xf numFmtId="0" fontId="0" fillId="7" borderId="0" xfId="0" applyFill="1"/>
    <xf numFmtId="0" fontId="0" fillId="2" borderId="0" xfId="0" applyNumberFormat="1" applyFill="1"/>
    <xf numFmtId="0" fontId="0" fillId="2" borderId="0" xfId="0" pivotButton="1" applyFill="1"/>
  </cellXfs>
  <cellStyles count="2">
    <cellStyle name="Hyperlink" xfId="1" builtinId="8"/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\-mm\-dd;@"/>
      <alignment horizontal="right"/>
    </dxf>
    <dxf>
      <numFmt numFmtId="166" formatCode="yyyy\-mm\-dd;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[$-F400]h:mm:ss\ AM/PM"/>
    </dxf>
    <dxf>
      <numFmt numFmtId="0" formatCode="General"/>
    </dxf>
    <dxf>
      <numFmt numFmtId="0" formatCode="General"/>
    </dxf>
    <dxf>
      <numFmt numFmtId="25" formatCode="h:mm"/>
    </dxf>
    <dxf>
      <numFmt numFmtId="25" formatCode="h:mm"/>
    </dxf>
    <dxf>
      <numFmt numFmtId="165" formatCode="[$-409]d\-m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3" formatCode="0%"/>
    </dxf>
    <dxf>
      <numFmt numFmtId="164" formatCode="[$-F800]dddd\,\ mmmm\ dd\,\ yyyy"/>
    </dxf>
    <dxf>
      <font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total,quantity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Aman</c:v>
                </c:pt>
                <c:pt idx="1">
                  <c:v>Rahul</c:v>
                </c:pt>
                <c:pt idx="2">
                  <c:v>Suresh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2000</c:v>
                </c:pt>
                <c:pt idx="1">
                  <c:v>1000</c:v>
                </c:pt>
                <c:pt idx="2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D-4EBC-81D5-2809CDF3508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Aman</c:v>
                </c:pt>
                <c:pt idx="1">
                  <c:v>Rahul</c:v>
                </c:pt>
                <c:pt idx="2">
                  <c:v>Suresh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D-4EBC-81D5-2809CDF35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655240"/>
        <c:axId val="90657288"/>
      </c:barChart>
      <c:catAx>
        <c:axId val="9065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7288"/>
        <c:crosses val="autoZero"/>
        <c:auto val="1"/>
        <c:lblAlgn val="ctr"/>
        <c:lblOffset val="100"/>
        <c:noMultiLvlLbl val="0"/>
      </c:catAx>
      <c:valAx>
        <c:axId val="9065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Sheet2!$B$14:$B$15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</c:strCache>
            </c:strRef>
          </c:cat>
          <c:val>
            <c:numRef>
              <c:f>Sheet2!$B$16:$B$20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E-4279-937F-6C6700195B02}"/>
            </c:ext>
          </c:extLst>
        </c:ser>
        <c:ser>
          <c:idx val="1"/>
          <c:order val="1"/>
          <c:tx>
            <c:strRef>
              <c:f>Sheet2!$C$14:$C$15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</c:strCache>
            </c:strRef>
          </c:cat>
          <c:val>
            <c:numRef>
              <c:f>Sheet2!$C$16:$C$20</c:f>
              <c:numCache>
                <c:formatCode>General</c:formatCode>
                <c:ptCount val="4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E-4279-937F-6C6700195B02}"/>
            </c:ext>
          </c:extLst>
        </c:ser>
        <c:ser>
          <c:idx val="2"/>
          <c:order val="2"/>
          <c:tx>
            <c:strRef>
              <c:f>Sheet2!$D$14:$D$15</c:f>
              <c:strCache>
                <c:ptCount val="1"/>
                <c:pt idx="0">
                  <c:v>10%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</c:strCache>
            </c:strRef>
          </c:cat>
          <c:val>
            <c:numRef>
              <c:f>Sheet2!$D$16:$D$20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EE-4279-937F-6C6700195B02}"/>
            </c:ext>
          </c:extLst>
        </c:ser>
        <c:ser>
          <c:idx val="3"/>
          <c:order val="3"/>
          <c:tx>
            <c:strRef>
              <c:f>Sheet2!$E$14:$E$15</c:f>
              <c:strCache>
                <c:ptCount val="1"/>
                <c:pt idx="0">
                  <c:v>15%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</c:strCache>
            </c:strRef>
          </c:cat>
          <c:val>
            <c:numRef>
              <c:f>Sheet2!$E$16:$E$20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EE-4279-937F-6C670019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40552"/>
        <c:axId val="131324936"/>
      </c:barChart>
      <c:catAx>
        <c:axId val="10014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24936"/>
        <c:crosses val="autoZero"/>
        <c:auto val="1"/>
        <c:lblAlgn val="ctr"/>
        <c:lblOffset val="100"/>
        <c:noMultiLvlLbl val="0"/>
      </c:catAx>
      <c:valAx>
        <c:axId val="13132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1-42EA-9D23-66E462956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E1-42EA-9D23-66E462956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E1-42EA-9D23-66E462956F80}"/>
              </c:ext>
            </c:extLst>
          </c:dPt>
          <c:cat>
            <c:strRef>
              <c:f>Sheet2!$A$4:$A$7</c:f>
              <c:strCache>
                <c:ptCount val="3"/>
                <c:pt idx="0">
                  <c:v>Aman</c:v>
                </c:pt>
                <c:pt idx="1">
                  <c:v>Rahul</c:v>
                </c:pt>
                <c:pt idx="2">
                  <c:v>Suresh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2000</c:v>
                </c:pt>
                <c:pt idx="1">
                  <c:v>1000</c:v>
                </c:pt>
                <c:pt idx="2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2-45F2-8CF4-FE678CA71CD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E1-42EA-9D23-66E462956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E1-42EA-9D23-66E462956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E1-42EA-9D23-66E462956F80}"/>
              </c:ext>
            </c:extLst>
          </c:dPt>
          <c:cat>
            <c:strRef>
              <c:f>Sheet2!$A$4:$A$7</c:f>
              <c:strCache>
                <c:ptCount val="3"/>
                <c:pt idx="0">
                  <c:v>Aman</c:v>
                </c:pt>
                <c:pt idx="1">
                  <c:v>Rahul</c:v>
                </c:pt>
                <c:pt idx="2">
                  <c:v>Suresh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2-45F2-8CF4-FE678CA7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'basics, formatting, sorting, fi'!$K$1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'basics, formatting, sorting, fi'!$G$2:$G$10</c:f>
              <c:strCache>
                <c:ptCount val="7"/>
                <c:pt idx="0">
                  <c:v>Quantity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strCache>
            </c:strRef>
          </c:cat>
          <c:val>
            <c:numRef>
              <c:f>'basics, formatting, sorting, fi'!$K$2:$K$11</c:f>
              <c:numCache>
                <c:formatCode>General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1200</c:v>
                </c:pt>
                <c:pt idx="3">
                  <c:v>10500</c:v>
                </c:pt>
                <c:pt idx="4">
                  <c:v>7000</c:v>
                </c:pt>
                <c:pt idx="5">
                  <c:v>2000</c:v>
                </c:pt>
                <c:pt idx="6">
                  <c:v>2400</c:v>
                </c:pt>
                <c:pt idx="7">
                  <c:v>0</c:v>
                </c:pt>
                <c:pt idx="8">
                  <c:v>24100</c:v>
                </c:pt>
                <c:pt idx="9">
                  <c:v>4016.6666666666665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A-42A1-92E7-7912F9614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377480"/>
        <c:axId val="1344796167"/>
      </c:barChart>
      <c:catAx>
        <c:axId val="31837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96167"/>
        <c:crosses val="autoZero"/>
        <c:auto val="1"/>
        <c:lblAlgn val="ctr"/>
        <c:lblOffset val="100"/>
        <c:noMultiLvlLbl val="0"/>
      </c:catAx>
      <c:valAx>
        <c:axId val="134479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3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for metods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E-4D01-9695-405153C58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E-4D01-9695-405153C58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E-4D01-9695-405153C58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E-4D01-9695-405153C58C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'basics, formatting, sorting, fi'!$J$10:$J$13</c:f>
              <c:strCache>
                <c:ptCount val="4"/>
                <c:pt idx="0">
                  <c:v>sum</c:v>
                </c:pt>
                <c:pt idx="1">
                  <c:v>avg</c:v>
                </c:pt>
                <c:pt idx="2">
                  <c:v>median</c:v>
                </c:pt>
                <c:pt idx="3">
                  <c:v>mode</c:v>
                </c:pt>
              </c:strCache>
            </c:strRef>
          </c:cat>
          <c:val>
            <c:numRef>
              <c:f>'basics, formatting, sorting, fi'!$K$10:$K$13</c:f>
              <c:numCache>
                <c:formatCode>General</c:formatCode>
                <c:ptCount val="4"/>
                <c:pt idx="0">
                  <c:v>24100</c:v>
                </c:pt>
                <c:pt idx="1">
                  <c:v>4016.6666666666665</c:v>
                </c:pt>
                <c:pt idx="2">
                  <c:v>2200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C-42F5-8C74-D6DE598EC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'basics, formatting, sorting, fi'!$G$2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'basics, formatting, sorting, fi'!$F$3:$F$8</c:f>
              <c:strCache>
                <c:ptCount val="6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P101</c:v>
                </c:pt>
                <c:pt idx="5">
                  <c:v>P102</c:v>
                </c:pt>
              </c:strCache>
            </c:strRef>
          </c:cat>
          <c:val>
            <c:numRef>
              <c:f>'basics, formatting, sorting, fi'!$G$3:$G$8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A-4D9F-A40D-103034B293FB}"/>
            </c:ext>
          </c:extLst>
        </c:ser>
        <c:ser>
          <c:idx val="1"/>
          <c:order val="1"/>
          <c:tx>
            <c:strRef>
              <c:f>'basics, formatting, sorting, fi'!$H$2</c:f>
              <c:strCache>
                <c:ptCount val="1"/>
                <c:pt idx="0">
                  <c:v>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'basics, formatting, sorting, fi'!$F$3:$F$8</c:f>
              <c:strCache>
                <c:ptCount val="6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P101</c:v>
                </c:pt>
                <c:pt idx="5">
                  <c:v>P102</c:v>
                </c:pt>
              </c:strCache>
            </c:strRef>
          </c:cat>
          <c:val>
            <c:numRef>
              <c:f>'basics, formatting, sorting, fi'!$H$3:$H$8</c:f>
              <c:numCache>
                <c:formatCode>General</c:formatCode>
                <c:ptCount val="6"/>
                <c:pt idx="0">
                  <c:v>500</c:v>
                </c:pt>
                <c:pt idx="1">
                  <c:v>1200</c:v>
                </c:pt>
                <c:pt idx="2">
                  <c:v>3500</c:v>
                </c:pt>
                <c:pt idx="3">
                  <c:v>7000</c:v>
                </c:pt>
                <c:pt idx="4">
                  <c:v>500</c:v>
                </c:pt>
                <c:pt idx="5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A-4D9F-A40D-103034B29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423751"/>
        <c:axId val="2139425799"/>
      </c:lineChart>
      <c:catAx>
        <c:axId val="2139423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25799"/>
        <c:crosses val="autoZero"/>
        <c:auto val="1"/>
        <c:lblAlgn val="ctr"/>
        <c:lblOffset val="100"/>
        <c:noMultiLvlLbl val="0"/>
      </c:catAx>
      <c:valAx>
        <c:axId val="2139425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2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Sheet3!$A$9:$A$12</c:f>
              <c:strCache>
                <c:ptCount val="3"/>
                <c:pt idx="0">
                  <c:v>Ajay</c:v>
                </c:pt>
                <c:pt idx="1">
                  <c:v>Kiran</c:v>
                </c:pt>
                <c:pt idx="2">
                  <c:v>Meena</c:v>
                </c:pt>
              </c:strCache>
            </c:strRef>
          </c:cat>
          <c:val>
            <c:numRef>
              <c:f>Sheet3!$B$9:$B$12</c:f>
              <c:numCache>
                <c:formatCode>General</c:formatCode>
                <c:ptCount val="3"/>
                <c:pt idx="0">
                  <c:v>39400</c:v>
                </c:pt>
                <c:pt idx="1">
                  <c:v>28000</c:v>
                </c:pt>
                <c:pt idx="2">
                  <c:v>20900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C-4BFB-937C-4E5C1BBE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1464"/>
        <c:axId val="90137608"/>
      </c:barChart>
      <c:catAx>
        <c:axId val="9013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7608"/>
        <c:crosses val="autoZero"/>
        <c:auto val="1"/>
        <c:lblAlgn val="ctr"/>
        <c:lblOffset val="100"/>
        <c:noMultiLvlLbl val="0"/>
      </c:catAx>
      <c:valAx>
        <c:axId val="901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&amp;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Sheet3!$A$18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Sheet3!$A$19</c:f>
              <c:numCache>
                <c:formatCode>General</c:formatCode>
                <c:ptCount val="1"/>
                <c:pt idx="0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4-49B8-BC07-E8E382062A9A}"/>
            </c:ext>
          </c:extLst>
        </c:ser>
        <c:ser>
          <c:idx val="1"/>
          <c:order val="1"/>
          <c:tx>
            <c:strRef>
              <c:f>Sheet3!$B$18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Sheet3!$B$19</c:f>
              <c:numCache>
                <c:formatCode>General</c:formatCode>
                <c:ptCount val="1"/>
                <c:pt idx="0">
                  <c:v>215800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4-49B8-BC07-E8E382062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478920"/>
        <c:axId val="45560328"/>
      </c:barChart>
      <c:catAx>
        <c:axId val="214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0328"/>
        <c:crosses val="autoZero"/>
        <c:auto val="1"/>
        <c:lblAlgn val="ctr"/>
        <c:lblOffset val="100"/>
        <c:noMultiLvlLbl val="0"/>
      </c:catAx>
      <c:valAx>
        <c:axId val="455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Sheet3!$U$7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E-43E1-BF16-ECE641D673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BE-43E1-BF16-ECE641D673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BE-43E1-BF16-ECE641D673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BE-43E1-BF16-ECE641D67353}"/>
              </c:ext>
            </c:extLst>
          </c:dPt>
          <c:cat>
            <c:strRef>
              <c:f>Sheet3!$T$8:$T$12</c:f>
              <c:strCache>
                <c:ptCount val="4"/>
                <c:pt idx="0">
                  <c:v>Mouse</c:v>
                </c:pt>
                <c:pt idx="1">
                  <c:v>Keyboard</c:v>
                </c:pt>
                <c:pt idx="2">
                  <c:v>Desk</c:v>
                </c:pt>
                <c:pt idx="3">
                  <c:v>Chair</c:v>
                </c:pt>
              </c:strCache>
            </c:strRef>
          </c:cat>
          <c:val>
            <c:numRef>
              <c:f>Sheet3!$U$8:$U$12</c:f>
              <c:numCache>
                <c:formatCode>General</c:formatCode>
                <c:ptCount val="4"/>
                <c:pt idx="0">
                  <c:v>22500</c:v>
                </c:pt>
                <c:pt idx="1">
                  <c:v>28800</c:v>
                </c:pt>
                <c:pt idx="2">
                  <c:v>98000</c:v>
                </c:pt>
                <c:pt idx="3">
                  <c:v>66500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3-422E-90DC-1D3543894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Sheet3!$Q$21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Sheet3!$P$22:$P$25</c:f>
              <c:strCache>
                <c:ptCount val="3"/>
                <c:pt idx="0">
                  <c:v>Ajay</c:v>
                </c:pt>
                <c:pt idx="1">
                  <c:v>Kiran</c:v>
                </c:pt>
                <c:pt idx="2">
                  <c:v>Meena</c:v>
                </c:pt>
              </c:strCache>
            </c:strRef>
          </c:cat>
          <c:val>
            <c:numRef>
              <c:f>Sheet3!$Q$22:$Q$25</c:f>
              <c:numCache>
                <c:formatCode>General</c:formatCode>
                <c:ptCount val="3"/>
                <c:pt idx="0">
                  <c:v>19</c:v>
                </c:pt>
                <c:pt idx="1">
                  <c:v>11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F-4AAA-82DB-061E0AFE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75272"/>
        <c:axId val="184077320"/>
      </c:lineChart>
      <c:catAx>
        <c:axId val="18407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77320"/>
        <c:crosses val="autoZero"/>
        <c:auto val="1"/>
        <c:lblAlgn val="ctr"/>
        <c:lblOffset val="100"/>
        <c:noMultiLvlLbl val="0"/>
      </c:catAx>
      <c:valAx>
        <c:axId val="18407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7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142875</xdr:colOff>
      <xdr:row>12</xdr:row>
      <xdr:rowOff>85725</xdr:rowOff>
    </xdr:from>
    <xdr:to>
      <xdr:col>16</xdr:col>
      <xdr:colOff>390525</xdr:colOff>
      <xdr:row>19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alesperson">
              <a:extLst>
                <a:ext uri="{FF2B5EF4-FFF2-40B4-BE49-F238E27FC236}">
                  <a16:creationId xmlns:a16="http://schemas.microsoft.com/office/drawing/2014/main" id="{E37B6926-485E-C534-5ECE-DEAFE24BA1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4425" y="2371725"/>
              <a:ext cx="207645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133350</xdr:colOff>
      <xdr:row>0</xdr:row>
      <xdr:rowOff>161925</xdr:rowOff>
    </xdr:from>
    <xdr:to>
      <xdr:col>9</xdr:col>
      <xdr:colOff>152400</xdr:colOff>
      <xdr:row>11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6596D-AEB8-F3A8-EFCD-F64297A18987}"/>
            </a:ext>
            <a:ext uri="{147F2762-F138-4A5C-976F-8EAC2B608ADB}">
              <a16:predDERef xmlns:a16="http://schemas.microsoft.com/office/drawing/2014/main" pred="{E37B6926-485E-C534-5ECE-DEAFE24BA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11</xdr:row>
      <xdr:rowOff>123825</xdr:rowOff>
    </xdr:from>
    <xdr:to>
      <xdr:col>12</xdr:col>
      <xdr:colOff>600075</xdr:colOff>
      <xdr:row>23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30216-8388-8009-6B14-BF559EDFFB4C}"/>
            </a:ext>
            <a:ext uri="{147F2762-F138-4A5C-976F-8EAC2B608ADB}">
              <a16:predDERef xmlns:a16="http://schemas.microsoft.com/office/drawing/2014/main" pred="{BA46596D-AEB8-F3A8-EFCD-F64297A18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0</xdr:row>
      <xdr:rowOff>180975</xdr:rowOff>
    </xdr:from>
    <xdr:to>
      <xdr:col>14</xdr:col>
      <xdr:colOff>333375</xdr:colOff>
      <xdr:row>10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DBA037-E372-792A-E542-B015C7487591}"/>
            </a:ext>
            <a:ext uri="{147F2762-F138-4A5C-976F-8EAC2B608ADB}">
              <a16:predDERef xmlns:a16="http://schemas.microsoft.com/office/drawing/2014/main" pred="{3A730216-8388-8009-6B14-BF559EDFF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0</xdr:row>
      <xdr:rowOff>66675</xdr:rowOff>
    </xdr:from>
    <xdr:to>
      <xdr:col>17</xdr:col>
      <xdr:colOff>276225</xdr:colOff>
      <xdr:row>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1E26D3-9265-5A65-0999-F5D9877B2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409575</xdr:colOff>
      <xdr:row>0</xdr:row>
      <xdr:rowOff>76200</xdr:rowOff>
    </xdr:from>
    <xdr:to>
      <xdr:col>24</xdr:col>
      <xdr:colOff>542925</xdr:colOff>
      <xdr:row>8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64909-678B-3E51-0D28-0BE5CCFDAC86}"/>
            </a:ext>
            <a:ext uri="{147F2762-F138-4A5C-976F-8EAC2B608ADB}">
              <a16:predDERef xmlns:a16="http://schemas.microsoft.com/office/drawing/2014/main" pred="{971E26D3-9265-5A65-0999-F5D9877B2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</xdr:colOff>
      <xdr:row>9</xdr:row>
      <xdr:rowOff>66675</xdr:rowOff>
    </xdr:from>
    <xdr:to>
      <xdr:col>20</xdr:col>
      <xdr:colOff>409575</xdr:colOff>
      <xdr:row>20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3AB6B1-9DB4-2F51-4F72-58EB140FD9AA}"/>
            </a:ext>
            <a:ext uri="{147F2762-F138-4A5C-976F-8EAC2B608ADB}">
              <a16:predDERef xmlns:a16="http://schemas.microsoft.com/office/drawing/2014/main" pred="{A3364909-678B-3E51-0D28-0BE5CCFDA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0</xdr:row>
      <xdr:rowOff>66675</xdr:rowOff>
    </xdr:from>
    <xdr:to>
      <xdr:col>11</xdr:col>
      <xdr:colOff>276225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AB347D-1EF5-C897-4A16-1C7E80EF6C73}"/>
            </a:ext>
          </a:extLst>
        </xdr:cNvPr>
        <xdr:cNvSpPr txBox="1"/>
      </xdr:nvSpPr>
      <xdr:spPr>
        <a:xfrm>
          <a:off x="4381500" y="66675"/>
          <a:ext cx="3543300" cy="5143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</a:t>
          </a:r>
          <a:r>
            <a:rPr lang="en-US" sz="16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DASBOARD</a:t>
          </a:r>
        </a:p>
      </xdr:txBody>
    </xdr:sp>
    <xdr:clientData/>
  </xdr:twoCellAnchor>
  <xdr:twoCellAnchor>
    <xdr:from>
      <xdr:col>2</xdr:col>
      <xdr:colOff>257175</xdr:colOff>
      <xdr:row>3</xdr:row>
      <xdr:rowOff>152400</xdr:rowOff>
    </xdr:from>
    <xdr:to>
      <xdr:col>7</xdr:col>
      <xdr:colOff>504825</xdr:colOff>
      <xdr:row>14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218C40-A51A-105B-AF2E-9FAFC8F20C9B}"/>
            </a:ext>
            <a:ext uri="{147F2762-F138-4A5C-976F-8EAC2B608ADB}">
              <a16:predDERef xmlns:a16="http://schemas.microsoft.com/office/drawing/2014/main" pred="{65AB347D-1EF5-C897-4A16-1C7E80EF6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771525</xdr:colOff>
      <xdr:row>11</xdr:row>
      <xdr:rowOff>9525</xdr:rowOff>
    </xdr:from>
    <xdr:to>
      <xdr:col>16</xdr:col>
      <xdr:colOff>514350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alesperson 1">
              <a:extLst>
                <a:ext uri="{FF2B5EF4-FFF2-40B4-BE49-F238E27FC236}">
                  <a16:creationId xmlns:a16="http://schemas.microsoft.com/office/drawing/2014/main" id="{C6011C34-0F0E-8C80-6CB3-A06EA552ECCE}"/>
                </a:ext>
                <a:ext uri="{147F2762-F138-4A5C-976F-8EAC2B608ADB}">
                  <a16:predDERef xmlns:a16="http://schemas.microsoft.com/office/drawing/2014/main" pred="{F1218C40-A51A-105B-AF2E-9FAFC8F20C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9775" y="781050"/>
              <a:ext cx="20955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266700</xdr:colOff>
      <xdr:row>15</xdr:row>
      <xdr:rowOff>114300</xdr:rowOff>
    </xdr:from>
    <xdr:to>
      <xdr:col>7</xdr:col>
      <xdr:colOff>600075</xdr:colOff>
      <xdr:row>27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B14BD5-8092-7727-0D3D-6C9037298A86}"/>
            </a:ext>
            <a:ext uri="{147F2762-F138-4A5C-976F-8EAC2B608ADB}">
              <a16:predDERef xmlns:a16="http://schemas.microsoft.com/office/drawing/2014/main" pred="{C6011C34-0F0E-8C80-6CB3-A06EA552E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742950</xdr:colOff>
      <xdr:row>3</xdr:row>
      <xdr:rowOff>114300</xdr:rowOff>
    </xdr:from>
    <xdr:to>
      <xdr:col>16</xdr:col>
      <xdr:colOff>371475</xdr:colOff>
      <xdr:row>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B5A61006-BB76-B3B6-8E35-2B90BBFEAB91}"/>
                </a:ext>
                <a:ext uri="{147F2762-F138-4A5C-976F-8EAC2B608ADB}">
                  <a16:predDERef xmlns:a16="http://schemas.microsoft.com/office/drawing/2014/main" pred="{EDB14BD5-8092-7727-0D3D-6C9037298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0" y="2209800"/>
              <a:ext cx="19812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9525</xdr:colOff>
      <xdr:row>3</xdr:row>
      <xdr:rowOff>95250</xdr:rowOff>
    </xdr:from>
    <xdr:to>
      <xdr:col>13</xdr:col>
      <xdr:colOff>409575</xdr:colOff>
      <xdr:row>14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D505B3-FA6B-8784-4122-C4E8B754BD64}"/>
            </a:ext>
            <a:ext uri="{147F2762-F138-4A5C-976F-8EAC2B608ADB}">
              <a16:predDERef xmlns:a16="http://schemas.microsoft.com/office/drawing/2014/main" pred="{B5A61006-BB76-B3B6-8E35-2B90BBFEA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15</xdr:row>
      <xdr:rowOff>142875</xdr:rowOff>
    </xdr:from>
    <xdr:to>
      <xdr:col>13</xdr:col>
      <xdr:colOff>552450</xdr:colOff>
      <xdr:row>26</xdr:row>
      <xdr:rowOff>123825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483541-631C-5347-61DE-E70EEC7B4008}"/>
            </a:ext>
            <a:ext uri="{147F2762-F138-4A5C-976F-8EAC2B608ADB}">
              <a16:predDERef xmlns:a16="http://schemas.microsoft.com/office/drawing/2014/main" pred="{F5D505B3-FA6B-8784-4122-C4E8B754B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900273842592" createdVersion="8" refreshedVersion="8" minRefreshableVersion="3" recordCount="6" xr:uid="{A2007432-6868-4D44-993C-5790562D55D6}">
  <cacheSource type="worksheet">
    <worksheetSource name="Table1"/>
  </cacheSource>
  <cacheFields count="10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06-02T00:00:00"/>
    </cacheField>
    <cacheField name="Customer_Name" numFmtId="0">
      <sharedItems count="6">
        <s v="Rahul"/>
        <s v="Anjali"/>
        <s v="Suresh"/>
        <s v="Priya"/>
        <s v="Aman"/>
        <s v="Neha"/>
      </sharedItems>
    </cacheField>
    <cacheField name="City" numFmtId="0">
      <sharedItems count="5">
        <s v="Bangalore"/>
        <s v="Chennai"/>
        <s v="Hyderabad"/>
        <s v="Mumbai"/>
        <s v="Delhi"/>
      </sharedItems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Unit_Price" numFmtId="0">
      <sharedItems containsSemiMixedTypes="0" containsString="0" containsNumber="1" containsInteger="1" minValue="500" maxValue="7000" count="4">
        <n v="500"/>
        <n v="1200"/>
        <n v="3500"/>
        <n v="7000"/>
      </sharedItems>
    </cacheField>
    <cacheField name="Discount_%" numFmtId="9">
      <sharedItems containsSemiMixedTypes="0" containsString="0" containsNumber="1" minValue="0" maxValue="0.15"/>
    </cacheField>
    <cacheField name="Salesperson" numFmtId="0">
      <sharedItems count="3">
        <s v="meena"/>
        <s v="ajay"/>
        <s v="ravi"/>
      </sharedItems>
    </cacheField>
    <cacheField name="Total" numFmtId="0">
      <sharedItems containsSemiMixedTypes="0" containsString="0" containsNumber="1" containsInteger="1" minValue="1000" maxValue="10500"/>
    </cacheField>
  </cacheFields>
  <extLst>
    <ext xmlns:x14="http://schemas.microsoft.com/office/spreadsheetml/2009/9/main" uri="{725AE2AE-9491-48be-B2B4-4EB974FC3084}">
      <x14:pivotCacheDefinition pivotCacheId="17050165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904090509262" createdVersion="8" refreshedVersion="8" minRefreshableVersion="3" recordCount="6" xr:uid="{2BE206BA-984A-445B-99B7-03655A4C1F33}">
  <cacheSource type="worksheet">
    <worksheetSource name="Table1[[Product_ID]:[Salesperson]]"/>
  </cacheSource>
  <cacheFields count="5">
    <cacheField name="Product_ID" numFmtId="0">
      <sharedItems count="4">
        <s v="P101"/>
        <s v="P102"/>
        <s v="P103"/>
        <s v="P104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0" maxValue="7000" count="4">
        <n v="500"/>
        <n v="1200"/>
        <n v="3500"/>
        <n v="7000"/>
      </sharedItems>
    </cacheField>
    <cacheField name="Discount_%" numFmtId="9">
      <sharedItems containsSemiMixedTypes="0" containsString="0" containsNumber="1" minValue="0" maxValue="0.15" count="4">
        <n v="0.05"/>
        <n v="0.1"/>
        <n v="0"/>
        <n v="0.15"/>
      </sharedItems>
    </cacheField>
    <cacheField name="Salesperson" numFmtId="0">
      <sharedItems count="3">
        <s v="meena"/>
        <s v="ajay"/>
        <s v="rav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925000925927" createdVersion="8" refreshedVersion="8" minRefreshableVersion="3" recordCount="44" xr:uid="{A3C0F52D-D0D6-4CC0-BA5F-01BAA267EE98}">
  <cacheSource type="worksheet">
    <worksheetSource name="Table5"/>
  </cacheSource>
  <cacheFields count="12">
    <cacheField name="Order_ID" numFmtId="0">
      <sharedItems/>
    </cacheField>
    <cacheField name="Order_Date" numFmtId="166">
      <sharedItems containsDate="1" containsMixedTypes="1" minDate="2024-01-01T00:00:00" maxDate="2024-12-12T00:00:00"/>
    </cacheField>
    <cacheField name="Product" numFmtId="0">
      <sharedItems count="4">
        <s v="Mouse"/>
        <s v="Keyboard"/>
        <s v="Chair"/>
        <s v="Desk"/>
      </sharedItems>
    </cacheField>
    <cacheField name="Category" numFmtId="0">
      <sharedItems count="2">
        <s v="Electronics"/>
        <s v="Furniture"/>
      </sharedItems>
    </cacheField>
    <cacheField name="Salesperson" numFmtId="0">
      <sharedItems count="3">
        <s v="Ajay"/>
        <s v="Meena"/>
        <s v="Kiran"/>
      </sharedItems>
    </cacheField>
    <cacheField name="City" numFmtId="0">
      <sharedItems count="5">
        <s v="Bangalore"/>
        <s v="Chennai"/>
        <s v="Hyderabad"/>
        <s v="Mumbai"/>
        <s v="Delhi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500" maxValue="7000"/>
    </cacheField>
    <cacheField name="Cost_Price" numFmtId="0">
      <sharedItems containsSemiMixedTypes="0" containsString="0" containsNumber="1" containsInteger="1" minValue="400" maxValue="6500"/>
    </cacheField>
    <cacheField name="Total Sales" numFmtId="0">
      <sharedItems containsSemiMixedTypes="0" containsString="0" containsNumber="1" containsInteger="1" minValue="1000" maxValue="14000"/>
    </cacheField>
    <cacheField name="Total Cost" numFmtId="0">
      <sharedItems containsSemiMixedTypes="0" containsString="0" containsNumber="1" containsInteger="1" minValue="800" maxValue="13000"/>
    </cacheField>
    <cacheField name="Profit" numFmtId="0">
      <sharedItems containsSemiMixedTypes="0" containsString="0" containsNumber="1" containsInteger="1" minValue="300" maxValue="7500"/>
    </cacheField>
  </cacheFields>
  <extLst>
    <ext xmlns:x14="http://schemas.microsoft.com/office/spreadsheetml/2009/9/main" uri="{725AE2AE-9491-48be-B2B4-4EB974FC3084}">
      <x14:pivotCacheDefinition pivotCacheId="1140817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O1001"/>
    <d v="2024-01-01T00:00:00"/>
    <x v="0"/>
    <x v="0"/>
    <s v="P101"/>
    <x v="0"/>
    <x v="0"/>
    <n v="0.05"/>
    <x v="0"/>
    <n v="1000"/>
  </r>
  <r>
    <s v="O1002"/>
    <d v="2024-02-01T00:00:00"/>
    <x v="1"/>
    <x v="1"/>
    <s v="P102"/>
    <x v="1"/>
    <x v="1"/>
    <n v="0.1"/>
    <x v="1"/>
    <n v="1200"/>
  </r>
  <r>
    <s v="O1003"/>
    <d v="2024-03-01T00:00:00"/>
    <x v="2"/>
    <x v="2"/>
    <s v="P103"/>
    <x v="2"/>
    <x v="2"/>
    <n v="0"/>
    <x v="0"/>
    <n v="10500"/>
  </r>
  <r>
    <s v="O1004"/>
    <d v="2024-04-01T00:00:00"/>
    <x v="3"/>
    <x v="3"/>
    <s v="P104"/>
    <x v="1"/>
    <x v="3"/>
    <n v="0.15"/>
    <x v="2"/>
    <n v="7000"/>
  </r>
  <r>
    <s v="O1005"/>
    <d v="2024-05-01T00:00:00"/>
    <x v="4"/>
    <x v="4"/>
    <s v="P101"/>
    <x v="3"/>
    <x v="0"/>
    <n v="0.05"/>
    <x v="0"/>
    <n v="2000"/>
  </r>
  <r>
    <s v="O1006"/>
    <d v="2024-06-01T00:00:00"/>
    <x v="5"/>
    <x v="0"/>
    <s v="P102"/>
    <x v="0"/>
    <x v="1"/>
    <n v="0"/>
    <x v="2"/>
    <n v="2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"/>
    <x v="0"/>
    <x v="0"/>
    <x v="0"/>
  </r>
  <r>
    <x v="1"/>
    <n v="1"/>
    <x v="1"/>
    <x v="1"/>
    <x v="1"/>
  </r>
  <r>
    <x v="2"/>
    <n v="3"/>
    <x v="2"/>
    <x v="2"/>
    <x v="0"/>
  </r>
  <r>
    <x v="3"/>
    <n v="1"/>
    <x v="3"/>
    <x v="3"/>
    <x v="2"/>
  </r>
  <r>
    <x v="0"/>
    <n v="4"/>
    <x v="0"/>
    <x v="0"/>
    <x v="0"/>
  </r>
  <r>
    <x v="1"/>
    <n v="2"/>
    <x v="1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O1001"/>
    <d v="2024-01-01T00:00:00"/>
    <x v="0"/>
    <x v="0"/>
    <x v="0"/>
    <x v="0"/>
    <n v="2"/>
    <n v="500"/>
    <n v="400"/>
    <n v="1000"/>
    <n v="800"/>
    <n v="600"/>
  </r>
  <r>
    <s v="O1002"/>
    <d v="2024-02-01T00:00:00"/>
    <x v="1"/>
    <x v="0"/>
    <x v="1"/>
    <x v="1"/>
    <n v="1"/>
    <n v="1200"/>
    <n v="900"/>
    <n v="1200"/>
    <n v="900"/>
    <n v="300"/>
  </r>
  <r>
    <s v="O1003"/>
    <d v="2024-05-01T00:00:00"/>
    <x v="2"/>
    <x v="1"/>
    <x v="0"/>
    <x v="2"/>
    <n v="3"/>
    <n v="3500"/>
    <n v="3000"/>
    <n v="10500"/>
    <n v="9000"/>
    <n v="7500"/>
  </r>
  <r>
    <s v="O1004"/>
    <d v="2024-12-01T00:00:00"/>
    <x v="3"/>
    <x v="1"/>
    <x v="2"/>
    <x v="3"/>
    <n v="1"/>
    <n v="7000"/>
    <n v="6500"/>
    <n v="7000"/>
    <n v="6500"/>
    <n v="500"/>
  </r>
  <r>
    <s v="O1005"/>
    <s v="18-02-2024"/>
    <x v="0"/>
    <x v="0"/>
    <x v="1"/>
    <x v="4"/>
    <n v="4"/>
    <n v="500"/>
    <n v="400"/>
    <n v="2000"/>
    <n v="1600"/>
    <n v="1600"/>
  </r>
  <r>
    <s v="O1006"/>
    <s v="25-02-2024"/>
    <x v="1"/>
    <x v="0"/>
    <x v="0"/>
    <x v="0"/>
    <n v="2"/>
    <n v="1200"/>
    <n v="900"/>
    <n v="2400"/>
    <n v="1800"/>
    <n v="1500"/>
  </r>
  <r>
    <s v="O1007"/>
    <d v="2024-05-03T00:00:00"/>
    <x v="2"/>
    <x v="1"/>
    <x v="2"/>
    <x v="1"/>
    <n v="2"/>
    <n v="3500"/>
    <n v="3000"/>
    <n v="7000"/>
    <n v="6000"/>
    <n v="4000"/>
  </r>
  <r>
    <s v="O1008"/>
    <s v="15-03-2024"/>
    <x v="3"/>
    <x v="1"/>
    <x v="0"/>
    <x v="3"/>
    <n v="1"/>
    <n v="7000"/>
    <n v="6500"/>
    <n v="7000"/>
    <n v="6500"/>
    <n v="500"/>
  </r>
  <r>
    <s v="O1009"/>
    <d v="2024-05-04T00:00:00"/>
    <x v="0"/>
    <x v="0"/>
    <x v="0"/>
    <x v="0"/>
    <n v="3"/>
    <n v="500"/>
    <n v="400"/>
    <n v="1500"/>
    <n v="1200"/>
    <n v="1100"/>
  </r>
  <r>
    <s v="O1010"/>
    <d v="2024-10-04T00:00:00"/>
    <x v="1"/>
    <x v="0"/>
    <x v="1"/>
    <x v="1"/>
    <n v="2"/>
    <n v="1200"/>
    <n v="900"/>
    <n v="2400"/>
    <n v="1800"/>
    <n v="1500"/>
  </r>
  <r>
    <s v="O1011"/>
    <s v="15-04-2024"/>
    <x v="2"/>
    <x v="1"/>
    <x v="2"/>
    <x v="2"/>
    <n v="1"/>
    <n v="3500"/>
    <n v="3000"/>
    <n v="3500"/>
    <n v="3000"/>
    <n v="500"/>
  </r>
  <r>
    <s v="O1012"/>
    <s v="22-04-2024"/>
    <x v="3"/>
    <x v="1"/>
    <x v="0"/>
    <x v="3"/>
    <n v="2"/>
    <n v="7000"/>
    <n v="6500"/>
    <n v="14000"/>
    <n v="13000"/>
    <n v="7500"/>
  </r>
  <r>
    <s v="O1013"/>
    <d v="2024-02-05T00:00:00"/>
    <x v="0"/>
    <x v="0"/>
    <x v="1"/>
    <x v="4"/>
    <n v="5"/>
    <n v="500"/>
    <n v="400"/>
    <n v="2500"/>
    <n v="2000"/>
    <n v="2100"/>
  </r>
  <r>
    <s v="O1014"/>
    <d v="2024-09-05T00:00:00"/>
    <x v="1"/>
    <x v="0"/>
    <x v="0"/>
    <x v="0"/>
    <n v="1"/>
    <n v="1200"/>
    <n v="900"/>
    <n v="1200"/>
    <n v="900"/>
    <n v="300"/>
  </r>
  <r>
    <s v="O1015"/>
    <s v="18-05-2024"/>
    <x v="2"/>
    <x v="1"/>
    <x v="2"/>
    <x v="1"/>
    <n v="2"/>
    <n v="3500"/>
    <n v="3000"/>
    <n v="7000"/>
    <n v="6000"/>
    <n v="4000"/>
  </r>
  <r>
    <s v="O1016"/>
    <s v="27-05-2024"/>
    <x v="3"/>
    <x v="1"/>
    <x v="1"/>
    <x v="2"/>
    <n v="1"/>
    <n v="7000"/>
    <n v="6500"/>
    <n v="7000"/>
    <n v="6500"/>
    <n v="500"/>
  </r>
  <r>
    <s v="O1017"/>
    <d v="2024-03-06T00:00:00"/>
    <x v="0"/>
    <x v="0"/>
    <x v="0"/>
    <x v="3"/>
    <n v="4"/>
    <n v="500"/>
    <n v="400"/>
    <n v="2000"/>
    <n v="1600"/>
    <n v="1600"/>
  </r>
  <r>
    <s v="O1018"/>
    <d v="2024-11-06T00:00:00"/>
    <x v="1"/>
    <x v="0"/>
    <x v="1"/>
    <x v="4"/>
    <n v="3"/>
    <n v="1200"/>
    <n v="900"/>
    <n v="3600"/>
    <n v="2700"/>
    <n v="2700"/>
  </r>
  <r>
    <s v="O1019"/>
    <s v="19-06-2024"/>
    <x v="2"/>
    <x v="1"/>
    <x v="0"/>
    <x v="0"/>
    <n v="1"/>
    <n v="3500"/>
    <n v="3000"/>
    <n v="3500"/>
    <n v="3000"/>
    <n v="500"/>
  </r>
  <r>
    <s v="O1020"/>
    <s v="28-06-2024"/>
    <x v="3"/>
    <x v="1"/>
    <x v="2"/>
    <x v="1"/>
    <n v="2"/>
    <n v="7000"/>
    <n v="6500"/>
    <n v="14000"/>
    <n v="13000"/>
    <n v="7500"/>
  </r>
  <r>
    <s v="O1021"/>
    <d v="2024-04-07T00:00:00"/>
    <x v="0"/>
    <x v="0"/>
    <x v="1"/>
    <x v="2"/>
    <n v="2"/>
    <n v="500"/>
    <n v="400"/>
    <n v="1000"/>
    <n v="800"/>
    <n v="600"/>
  </r>
  <r>
    <s v="O1022"/>
    <d v="2024-12-07T00:00:00"/>
    <x v="1"/>
    <x v="0"/>
    <x v="0"/>
    <x v="3"/>
    <n v="2"/>
    <n v="1200"/>
    <n v="900"/>
    <n v="2400"/>
    <n v="1800"/>
    <n v="1500"/>
  </r>
  <r>
    <s v="O1023"/>
    <s v="20-07-2024"/>
    <x v="2"/>
    <x v="1"/>
    <x v="2"/>
    <x v="4"/>
    <n v="3"/>
    <n v="3500"/>
    <n v="3000"/>
    <n v="10500"/>
    <n v="9000"/>
    <n v="7500"/>
  </r>
  <r>
    <s v="O1024"/>
    <s v="29-07-2024"/>
    <x v="3"/>
    <x v="1"/>
    <x v="0"/>
    <x v="0"/>
    <n v="1"/>
    <n v="7000"/>
    <n v="6500"/>
    <n v="7000"/>
    <n v="6500"/>
    <n v="500"/>
  </r>
  <r>
    <s v="O1025"/>
    <d v="2024-05-08T00:00:00"/>
    <x v="0"/>
    <x v="0"/>
    <x v="0"/>
    <x v="1"/>
    <n v="6"/>
    <n v="500"/>
    <n v="400"/>
    <n v="3000"/>
    <n v="2400"/>
    <n v="2600"/>
  </r>
  <r>
    <s v="O1026"/>
    <s v="14-08-2024"/>
    <x v="1"/>
    <x v="0"/>
    <x v="1"/>
    <x v="0"/>
    <n v="2"/>
    <n v="1200"/>
    <n v="900"/>
    <n v="2400"/>
    <n v="1800"/>
    <n v="1500"/>
  </r>
  <r>
    <s v="O1027"/>
    <s v="21-08-2024"/>
    <x v="2"/>
    <x v="1"/>
    <x v="2"/>
    <x v="3"/>
    <n v="1"/>
    <n v="3500"/>
    <n v="3000"/>
    <n v="3500"/>
    <n v="3000"/>
    <n v="500"/>
  </r>
  <r>
    <s v="O1028"/>
    <s v="29-08-2024"/>
    <x v="3"/>
    <x v="1"/>
    <x v="0"/>
    <x v="4"/>
    <n v="1"/>
    <n v="7000"/>
    <n v="6500"/>
    <n v="7000"/>
    <n v="6500"/>
    <n v="500"/>
  </r>
  <r>
    <s v="O1029"/>
    <d v="2024-03-09T00:00:00"/>
    <x v="0"/>
    <x v="0"/>
    <x v="1"/>
    <x v="2"/>
    <n v="4"/>
    <n v="500"/>
    <n v="400"/>
    <n v="2000"/>
    <n v="1600"/>
    <n v="1600"/>
  </r>
  <r>
    <s v="O1030"/>
    <d v="2024-11-09T00:00:00"/>
    <x v="1"/>
    <x v="0"/>
    <x v="0"/>
    <x v="1"/>
    <n v="3"/>
    <n v="1200"/>
    <n v="900"/>
    <n v="3600"/>
    <n v="2700"/>
    <n v="2700"/>
  </r>
  <r>
    <s v="O1031"/>
    <s v="18-09-2024"/>
    <x v="2"/>
    <x v="1"/>
    <x v="2"/>
    <x v="0"/>
    <n v="2"/>
    <n v="3500"/>
    <n v="3000"/>
    <n v="7000"/>
    <n v="6000"/>
    <n v="4000"/>
  </r>
  <r>
    <s v="O1032"/>
    <s v="27-09-2024"/>
    <x v="3"/>
    <x v="1"/>
    <x v="1"/>
    <x v="3"/>
    <n v="1"/>
    <n v="7000"/>
    <n v="6500"/>
    <n v="7000"/>
    <n v="6500"/>
    <n v="500"/>
  </r>
  <r>
    <s v="O1033"/>
    <d v="2024-02-10T00:00:00"/>
    <x v="0"/>
    <x v="0"/>
    <x v="0"/>
    <x v="4"/>
    <n v="5"/>
    <n v="500"/>
    <n v="400"/>
    <n v="2500"/>
    <n v="2000"/>
    <n v="2100"/>
  </r>
  <r>
    <s v="O1034"/>
    <d v="2024-10-10T00:00:00"/>
    <x v="1"/>
    <x v="0"/>
    <x v="1"/>
    <x v="2"/>
    <n v="2"/>
    <n v="1200"/>
    <n v="900"/>
    <n v="2400"/>
    <n v="1800"/>
    <n v="1500"/>
  </r>
  <r>
    <s v="O1035"/>
    <s v="19-10-2024"/>
    <x v="2"/>
    <x v="1"/>
    <x v="0"/>
    <x v="1"/>
    <n v="1"/>
    <n v="3500"/>
    <n v="3000"/>
    <n v="3500"/>
    <n v="3000"/>
    <n v="500"/>
  </r>
  <r>
    <s v="O1036"/>
    <s v="28-10-2024"/>
    <x v="3"/>
    <x v="1"/>
    <x v="2"/>
    <x v="0"/>
    <n v="2"/>
    <n v="7000"/>
    <n v="6500"/>
    <n v="14000"/>
    <n v="13000"/>
    <n v="7500"/>
  </r>
  <r>
    <s v="O1037"/>
    <d v="2024-05-11T00:00:00"/>
    <x v="0"/>
    <x v="0"/>
    <x v="1"/>
    <x v="3"/>
    <n v="3"/>
    <n v="500"/>
    <n v="400"/>
    <n v="1500"/>
    <n v="1200"/>
    <n v="1100"/>
  </r>
  <r>
    <s v="O1038"/>
    <d v="2024-12-11T00:00:00"/>
    <x v="1"/>
    <x v="0"/>
    <x v="0"/>
    <x v="4"/>
    <n v="4"/>
    <n v="1200"/>
    <n v="900"/>
    <n v="4800"/>
    <n v="3600"/>
    <n v="3900"/>
  </r>
  <r>
    <s v="O1039"/>
    <s v="20-11-2024"/>
    <x v="2"/>
    <x v="1"/>
    <x v="2"/>
    <x v="2"/>
    <n v="2"/>
    <n v="3500"/>
    <n v="3000"/>
    <n v="7000"/>
    <n v="6000"/>
    <n v="4000"/>
  </r>
  <r>
    <s v="O1040"/>
    <s v="29-11-2024"/>
    <x v="3"/>
    <x v="1"/>
    <x v="1"/>
    <x v="1"/>
    <n v="1"/>
    <n v="7000"/>
    <n v="6500"/>
    <n v="7000"/>
    <n v="6500"/>
    <n v="500"/>
  </r>
  <r>
    <s v="O1041"/>
    <d v="2024-04-12T00:00:00"/>
    <x v="0"/>
    <x v="0"/>
    <x v="0"/>
    <x v="0"/>
    <n v="7"/>
    <n v="500"/>
    <n v="400"/>
    <n v="3500"/>
    <n v="2800"/>
    <n v="3100"/>
  </r>
  <r>
    <s v="O1042"/>
    <d v="2024-11-12T00:00:00"/>
    <x v="1"/>
    <x v="0"/>
    <x v="1"/>
    <x v="4"/>
    <n v="2"/>
    <n v="1200"/>
    <n v="900"/>
    <n v="2400"/>
    <n v="1800"/>
    <n v="1500"/>
  </r>
  <r>
    <s v="O1043"/>
    <s v="18-12-2024"/>
    <x v="2"/>
    <x v="1"/>
    <x v="0"/>
    <x v="3"/>
    <n v="1"/>
    <n v="3500"/>
    <n v="3000"/>
    <n v="3500"/>
    <n v="3000"/>
    <n v="500"/>
  </r>
  <r>
    <s v="O1044"/>
    <s v="27-12-2024"/>
    <x v="3"/>
    <x v="1"/>
    <x v="2"/>
    <x v="2"/>
    <n v="1"/>
    <n v="7000"/>
    <n v="6500"/>
    <n v="7000"/>
    <n v="65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396CD-B85D-487F-880D-980E97A21FCE}" name="PivotTable1" cacheId="5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7" firstHeaderRow="0" firstDataRow="1" firstDataCol="1"/>
  <pivotFields count="10">
    <pivotField compact="0" outline="0" showAll="0"/>
    <pivotField compact="0" numFmtId="164" outline="0" showAll="0"/>
    <pivotField axis="axisRow" compact="0" outline="0" showAll="0">
      <items count="7">
        <item x="4"/>
        <item x="1"/>
        <item x="5"/>
        <item x="3"/>
        <item x="0"/>
        <item x="2"/>
        <item t="default"/>
      </items>
    </pivotField>
    <pivotField compact="0" outline="0" showAll="0">
      <items count="6">
        <item x="0"/>
        <item x="1"/>
        <item x="4"/>
        <item x="2"/>
        <item x="3"/>
        <item t="default"/>
      </items>
    </pivotField>
    <pivotField compact="0" outline="0" showAll="0"/>
    <pivotField dataField="1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numFmtId="9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</pivotFields>
  <rowFields count="1">
    <field x="2"/>
  </rowFields>
  <rowItems count="4">
    <i>
      <x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9" baseField="0" baseItem="0"/>
    <dataField name="Sum of Quantity" fld="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16846-CD11-4B61-8C3F-61EB1C87D846}" name="PivotTable2" cacheId="5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4:F20" firstHeaderRow="1" firstDataRow="2" firstDataCol="1"/>
  <pivotFields count="5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axis="axisCol" compact="0" numFmtId="9" outline="0" showAll="0">
      <items count="5">
        <item x="2"/>
        <item x="0"/>
        <item x="1"/>
        <item x="3"/>
        <item t="default"/>
      </items>
    </pivotField>
    <pivotField compact="0" outline="0" multipleItemSelectionAllowed="1" showAll="0">
      <items count="4">
        <item x="1"/>
        <item x="0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069CF-4018-40EA-BAAE-D8409DBA200E}" name="PivotTable1" cacheId="5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3:B27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ity" fld="5" subtotal="count" baseField="0" baseItem="0"/>
  </dataFields>
  <formats count="6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4" type="button" dataOnly="0" labelOnly="1" outline="0" axis="axisRow" fieldPosition="0"/>
    </format>
    <format dxfId="58">
      <pivotArea dataOnly="0" labelOnly="1" outline="0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3D881-393B-43B4-BF51-2E0BFD22A94D}" name="PivotTable5" cacheId="5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T7:U12" firstHeaderRow="1" firstDataRow="1" firstDataCol="1"/>
  <pivotFields count="12"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formats count="6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F35A2-BF8F-4C28-B6BB-AFE19D9B1340}" name="PivotTable4" cacheId="5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8:B19" firstHeaderRow="0" firstDataRow="1" firstDataCol="0"/>
  <pivotFields count="12"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Total Sales" fld="9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F24C7-EB86-48EB-ACA6-1BD0222B6997}" name="PivotTable3" cacheId="5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:B12" firstHeaderRow="1" firstDataRow="1" firstDataCol="1" rowPageCount="1" colPageCount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Page" compact="0" outline="0" multipleItemSelectionAllowed="1" showAll="0">
      <items count="6">
        <item h="1" x="0"/>
        <item h="1" x="1"/>
        <item h="1"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5C79A-53DA-4B28-9BA1-02ADF3D8AEAC}" name="PivotTable6" cacheId="5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P21:Q25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ity" fld="5" subtotal="count" baseField="0" baseItem="0"/>
  </dataFields>
  <formats count="6"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4" type="button" dataOnly="0" labelOnly="1" outline="0" axis="axisRow" fieldPosition="0"/>
    </format>
    <format dxfId="46">
      <pivotArea dataOnly="0" labelOnly="1" outline="0" fieldPosition="0">
        <references count="1">
          <reference field="4" count="0"/>
        </references>
      </pivotArea>
    </format>
    <format dxfId="47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0F36E023-70E0-4ECB-95F1-2F250FAA8392}" sourceName="Salesperson">
  <pivotTables>
    <pivotTable tabId="5" name="PivotTable1"/>
  </pivotTables>
  <data>
    <tabular pivotCacheId="1705016572">
      <items count="3">
        <i x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1" xr10:uid="{D847E4CC-DCE7-4AE9-9873-BAF98B6625D0}" sourceName="Salesperson">
  <pivotTables>
    <pivotTable tabId="7" name="PivotTable3"/>
  </pivotTables>
  <data>
    <tabular pivotCacheId="114081749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54C95D30-A9AC-498A-8894-3C292FDBAA7C}" sourceName="Category">
  <pivotTables>
    <pivotTable tabId="7" name="PivotTable4"/>
  </pivotTables>
  <data>
    <tabular pivotCacheId="114081749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" xr10:uid="{CF99CFC2-ADE6-420F-B2F2-53E00CCE7C40}" cache="Slicer_Salesperson" caption="Salespers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 1" xr10:uid="{E20F462E-DA78-4882-A922-93316A72CC83}" cache="Slicer_Salesperson1" caption="Salesperson" rowHeight="228600"/>
  <slicer name="Category" xr10:uid="{3EB6C8A3-4210-42D9-9AB1-5B5B3F46018A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75F7F-2AEC-4696-A6AD-44D6B6F0A00E}" name="Table1" displayName="Table1" ref="B2:K8" totalsRowShown="0" headerRowDxfId="41">
  <autoFilter ref="B2:K8" xr:uid="{49975F7F-2AEC-4696-A6AD-44D6B6F0A00E}"/>
  <sortState xmlns:xlrd2="http://schemas.microsoft.com/office/spreadsheetml/2017/richdata2" ref="B3:J8">
    <sortCondition ref="C3:C8"/>
  </sortState>
  <tableColumns count="10">
    <tableColumn id="1" xr3:uid="{7D3F29CD-E76B-4DD9-BAC2-67025A5F7F51}" name="Order_ID" dataDxfId="40"/>
    <tableColumn id="2" xr3:uid="{1E506FDC-7060-4E03-8A56-C8AC9CBE211E}" name="Order_Date" dataDxfId="39"/>
    <tableColumn id="3" xr3:uid="{E0D96562-F3CD-4E4A-81EF-AA5BB4598915}" name="Customer_Name"/>
    <tableColumn id="4" xr3:uid="{5C73D916-4210-43A5-B17F-7D49E97908EA}" name="City"/>
    <tableColumn id="5" xr3:uid="{288B988D-0566-4484-8311-2B2258855BA4}" name="Product_ID"/>
    <tableColumn id="6" xr3:uid="{ABDB428B-F1BE-4509-B9B7-870DAEC8EB4A}" name="Quantity"/>
    <tableColumn id="7" xr3:uid="{2F105C45-24F4-4669-BE09-2F39425E4287}" name="Unit_Price"/>
    <tableColumn id="8" xr3:uid="{4C2A65C0-AB51-4BE9-854E-914F37B36179}" name="Discount_%" dataDxfId="38"/>
    <tableColumn id="9" xr3:uid="{80CE9060-0765-4D8A-B5B4-8039C23E6EDB}" name="Salesperson"/>
    <tableColumn id="10" xr3:uid="{0F3B2B1B-82B3-4CBB-A8E5-6A0AEC808AED}" name="Total" dataDxfId="37">
      <calculatedColumnFormula>SUM(Table1[[#This Row],[Unit_Price]]*Table1[[#This Row],[Quantity]])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B9E72-AED7-4466-8CC8-CBA94F645C4B}" name="Table2" displayName="Table2" ref="J9:K13" totalsRowShown="0">
  <autoFilter ref="J9:K13" xr:uid="{CCEB9E72-AED7-4466-8CC8-CBA94F645C4B}"/>
  <tableColumns count="2">
    <tableColumn id="1" xr3:uid="{7F77443A-A987-4FF7-AD25-4887B3497C64}" name="methods"/>
    <tableColumn id="2" xr3:uid="{39B72A41-7FBB-4FD0-8E42-B701FDF0DFE8}" name="value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131305-A6D7-4182-AB3D-36C43B0A51ED}" name="Table3" displayName="Table3" ref="B4:J9" totalsRowCount="1" headerRowDxfId="36">
  <autoFilter ref="B4:J8" xr:uid="{82131305-A6D7-4182-AB3D-36C43B0A51ED}"/>
  <tableColumns count="9">
    <tableColumn id="1" xr3:uid="{0E3BE52F-08A5-4C69-A6CB-91FE8E6E91D3}" name="Product_ID"/>
    <tableColumn id="2" xr3:uid="{1E86018C-CABD-499B-87EC-24A7AB2B8CF6}" name="Product_Name" totalsRowLabel="max" totalsRowDxfId="35"/>
    <tableColumn id="9" xr3:uid="{912E2667-D1DE-45B1-87EB-98277B3A42BB}" name="Quantity" totalsRowFunction="custom">
      <totalsRowFormula>SUBTOTAL(104,D5:D8)</totalsRowFormula>
    </tableColumn>
    <tableColumn id="3" xr3:uid="{994E7444-80EB-47B2-85FA-F6F181FEDD0B}" name="Category" totalsRowLabel="total" totalsRowDxfId="34"/>
    <tableColumn id="4" xr3:uid="{DF541811-4C16-438D-8AE4-D660404A06E0}" name="Cost_Price" totalsRowFunction="custom">
      <totalsRowFormula>AVERAGE(Table3[Cost_Price])</totalsRowFormula>
    </tableColumn>
    <tableColumn id="5" xr3:uid="{3F874A54-7CB4-479F-B659-E076A63E2BEA}" name="Gross_Sale" totalsRowFunction="custom" dataDxfId="32" totalsRowDxfId="33">
      <calculatedColumnFormula>Table3[[#This Row],[Quantity]]*Table3[[#This Row],[Cost_Price]]</calculatedColumnFormula>
      <totalsRowFormula>SUM(Table3[Gross_Sale])</totalsRowFormula>
    </tableColumn>
    <tableColumn id="6" xr3:uid="{4B4287E5-553A-4E56-A95D-B62E36046F07}" name="Discount_Amount" dataDxfId="30" totalsRowDxfId="31">
      <calculatedColumnFormula>Table3[[#This Row],[Gross_Sale]]*5</calculatedColumnFormula>
    </tableColumn>
    <tableColumn id="7" xr3:uid="{DFAF9E00-A4B3-4284-9317-AF1BB73EA55F}" name="Net_Sales" dataDxfId="28" totalsRowDxfId="29">
      <calculatedColumnFormula>Table3[[#This Row],[Discount_Amount]]-Table3[[#This Row],[Gross_Sale]]</calculatedColumnFormula>
    </tableColumn>
    <tableColumn id="8" xr3:uid="{0DD1D2B2-B60C-461E-B36A-69DB403D8FA0}" name="Profit" dataDxfId="26" totalsRowDxfId="27">
      <calculatedColumnFormula>Table3[[#This Row],[Net_Sales]]-(Table3[[#This Row],[Cost_Price]]*Table3[[#This Row],[Quantity]])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A86067-2E81-46CB-AF0F-9E20D0A07DBA}" name="Table6" displayName="Table6" ref="C5:P11" totalsRowShown="0" headerRowDxfId="25">
  <autoFilter ref="C5:P11" xr:uid="{88A86067-2E81-46CB-AF0F-9E20D0A07DBA}"/>
  <tableColumns count="14">
    <tableColumn id="1" xr3:uid="{B91BAA8C-6B6B-4092-95F5-B63402A038F1}" name="Customer_ID"/>
    <tableColumn id="5" xr3:uid="{1DDD6D0F-0952-4D3F-9049-9678E4CC373E}" name="Fname"/>
    <tableColumn id="2" xr3:uid="{9DA51857-600A-427E-AF75-8338AA539962}" name="Customer_Name"/>
    <tableColumn id="3" xr3:uid="{8C555B5A-1ED3-48C6-BB44-01E91241FD3B}" name="Email" dataCellStyle="Hyperlink"/>
    <tableColumn id="4" xr3:uid="{10EC5DF9-E335-4532-BC61-45C975EB1B4D}" name="Phone"/>
    <tableColumn id="6" xr3:uid="{AA795BE5-F45E-4F4A-AEC9-066D5EE938BB}" name="Left" dataDxfId="24">
      <calculatedColumnFormula>LEFT(Table6[[#This Row],[Customer_Name]],2)</calculatedColumnFormula>
    </tableColumn>
    <tableColumn id="7" xr3:uid="{A8757791-4CF5-4AB3-97C8-0CD22B34F960}" name="RIGHT" dataDxfId="23">
      <calculatedColumnFormula>RIGHT(Table6[[#This Row],[Customer_Name]],4)</calculatedColumnFormula>
    </tableColumn>
    <tableColumn id="8" xr3:uid="{F37F2B7B-9E01-432F-B8D1-9AD1FCBC8B6B}" name="MID" dataDxfId="22">
      <calculatedColumnFormula>MID(Table6[[#This Row],[Customer_Name]],2,5)</calculatedColumnFormula>
    </tableColumn>
    <tableColumn id="9" xr3:uid="{A1191CE5-74C7-4655-BF37-24761B360E07}" name="LEN," dataDxfId="21">
      <calculatedColumnFormula>LEN(Table6[[#This Row],[Customer_Name]])</calculatedColumnFormula>
    </tableColumn>
    <tableColumn id="10" xr3:uid="{DD8AD1A2-2775-4F00-9F27-FD89FE2E034D}" name="FIND" dataDxfId="20">
      <calculatedColumnFormula>FIND("a",Table6[[#This Row],[Customer_Name]])</calculatedColumnFormula>
    </tableColumn>
    <tableColumn id="11" xr3:uid="{994478F8-41F0-4C2B-A59D-788E9105B55C}" name="CONCAT" dataDxfId="19">
      <calculatedColumnFormula>_xlfn.CONCAT(Table6[[#This Row],[Fname]]," ",Table6[[#This Row],[Customer_Name]])</calculatedColumnFormula>
    </tableColumn>
    <tableColumn id="12" xr3:uid="{C54C9DD8-85FE-4B65-B49D-B54C7BEFE1A9}" name="TEXTJOIN" dataDxfId="18">
      <calculatedColumnFormula>_xlfn.TEXTJOIN(".",FALSE,Table6[[#This Row],[Fname]],Table6[[#This Row],[Customer_Name]])</calculatedColumnFormula>
    </tableColumn>
    <tableColumn id="13" xr3:uid="{5375E381-E801-43E9-ABE4-40986DDE9266}" name="LOWER" dataDxfId="17">
      <calculatedColumnFormula>LOWER(Table6[[#This Row],[Customer_Name]])</calculatedColumnFormula>
    </tableColumn>
    <tableColumn id="14" xr3:uid="{C6AD92A3-FBC1-4196-BA8C-93B3A670742D}" name="UPPER" dataDxfId="16">
      <calculatedColumnFormula>UPPER(Table6[[#This Row],[Customer_Name]])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92B82-727A-40BD-BC80-8EA90F6B949B}" name="Table4" displayName="Table4" ref="C3:I6" totalsRowShown="0" headerRowDxfId="15">
  <autoFilter ref="C3:I6" xr:uid="{68A92B82-727A-40BD-BC80-8EA90F6B949B}"/>
  <tableColumns count="7">
    <tableColumn id="1" xr3:uid="{BC10AB71-55D6-4F77-BA79-FBFEA6E4CCFD}" name="Emp_Name"/>
    <tableColumn id="2" xr3:uid="{234F7420-A390-4C6B-91B7-E0A1568EED6F}" name="Date" dataDxfId="14"/>
    <tableColumn id="3" xr3:uid="{BE540771-A3F9-446E-8D36-B5AAE0E7A648}" name="Login_Time" dataDxfId="13"/>
    <tableColumn id="4" xr3:uid="{A5745836-09E1-46E9-82DA-3B23C1568843}" name="Logout_Time" dataDxfId="12"/>
    <tableColumn id="6" xr3:uid="{3630DC93-BE4B-44DC-B431-95642C05655B}" name="mont" dataDxfId="11">
      <calculatedColumnFormula>MONTH(Table4[[#This Row],[Date]])</calculatedColumnFormula>
    </tableColumn>
    <tableColumn id="7" xr3:uid="{E5772B9A-23E0-4B75-BD0A-0D0845DFDC5B}" name="date2" dataDxfId="10">
      <calculatedColumnFormula>YEAR(Table4[[#This Row],[Date]])</calculatedColumnFormula>
    </tableColumn>
    <tableColumn id="8" xr3:uid="{959329D0-51F0-4858-8BAA-5A137B2B18DE}" name="diff" dataDxfId="9">
      <calculatedColumnFormula>Table4[[#This Row],[Logout_Time]]-Table4[[#This Row],[Login_Time]]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6A6719-6CB3-4E3D-B14F-FEC15400D37D}" name="Table5" displayName="Table5" ref="A1:L46" totalsRowCount="1" headerRowDxfId="8">
  <autoFilter ref="A1:L45" xr:uid="{156A6719-6CB3-4E3D-B14F-FEC15400D37D}"/>
  <sortState xmlns:xlrd2="http://schemas.microsoft.com/office/spreadsheetml/2017/richdata2" ref="A2:L45">
    <sortCondition descending="1" ref="D2:D45"/>
  </sortState>
  <tableColumns count="12">
    <tableColumn id="1" xr3:uid="{65F103F9-4FE8-43BD-96AA-686806AA759C}" name="Order_ID"/>
    <tableColumn id="2" xr3:uid="{EEE62F5C-0559-4BDB-88C0-D6E3CF4D7476}" name="Order_Date" dataDxfId="6" totalsRowDxfId="7"/>
    <tableColumn id="3" xr3:uid="{A342C92F-4FC5-465D-B396-AFB88D1DF2C4}" name="Product"/>
    <tableColumn id="4" xr3:uid="{37BA8FC6-CBAE-4E3E-B2C6-4F532271203B}" name="Category"/>
    <tableColumn id="5" xr3:uid="{3490A050-11C3-429A-B2C0-8F569C2FB626}" name="Salesperson"/>
    <tableColumn id="6" xr3:uid="{88B57816-C0A9-46DC-826A-E744375CC029}" name="City"/>
    <tableColumn id="7" xr3:uid="{D2183850-8AC5-4928-B0A6-A1049E9377D2}" name="Quantity"/>
    <tableColumn id="8" xr3:uid="{878E1ADF-7B7D-4A5A-AE58-95FB085DCF5A}" name="Unit_Price"/>
    <tableColumn id="9" xr3:uid="{7C28AF71-3E79-4571-AAA9-E12D1D31384D}" name="Cost_Price"/>
    <tableColumn id="10" xr3:uid="{C072E2D6-CDE1-4BA4-8C31-B409D2B277E4}" name="Total Sales" totalsRowFunction="custom" dataDxfId="4" totalsRowDxfId="5">
      <calculatedColumnFormula>Table5[[#This Row],[Quantity]]*Table5[[#This Row],[Unit_Price]]</calculatedColumnFormula>
      <totalsRowFormula>SUM(J2:J45)</totalsRowFormula>
    </tableColumn>
    <tableColumn id="11" xr3:uid="{C17CF838-44D7-4E78-960A-ABF58F3BAF7D}" name="Total Cost" dataDxfId="2" totalsRowDxfId="3">
      <calculatedColumnFormula>Table5[[#This Row],[Quantity]]*Table5[[#This Row],[Cost_Price]]</calculatedColumnFormula>
    </tableColumn>
    <tableColumn id="12" xr3:uid="{643C6E32-9F93-4D71-A107-02CFFC8F51CA}" name="Profit" totalsRowFunction="custom" dataDxfId="0" totalsRowDxfId="1">
      <calculatedColumnFormula>Table5[[#This Row],[Total Sales]]-Table5[[#This Row],[Cost_Price]]</calculatedColumnFormula>
      <totalsRowFormula>SUM(L2:L45)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intu@mail.com" TargetMode="External"/><Relationship Id="rId7" Type="http://schemas.openxmlformats.org/officeDocument/2006/relationships/table" Target="../tables/table4.xml"/><Relationship Id="rId2" Type="http://schemas.openxmlformats.org/officeDocument/2006/relationships/hyperlink" Target="mailto:suresh@outlook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siva@outlook.com" TargetMode="External"/><Relationship Id="rId5" Type="http://schemas.openxmlformats.org/officeDocument/2006/relationships/hyperlink" Target="mailto:eravii@yaoo.com" TargetMode="External"/><Relationship Id="rId4" Type="http://schemas.openxmlformats.org/officeDocument/2006/relationships/hyperlink" Target="mailto:anjali@yaho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microsoft.com/office/2007/relationships/slicer" Target="../slicers/slicer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18D1-129E-489A-B0F5-7959FCB741C0}">
  <dimension ref="A3:F20"/>
  <sheetViews>
    <sheetView workbookViewId="0">
      <selection activeCell="Q9" sqref="Q9"/>
    </sheetView>
  </sheetViews>
  <sheetFormatPr defaultRowHeight="15"/>
  <cols>
    <col min="1" max="1" width="19" customWidth="1"/>
    <col min="2" max="2" width="12.140625" customWidth="1"/>
    <col min="3" max="3" width="15.42578125" bestFit="1" customWidth="1"/>
    <col min="4" max="5" width="4.5703125" bestFit="1" customWidth="1"/>
    <col min="6" max="6" width="11.42578125" bestFit="1" customWidth="1"/>
    <col min="7" max="7" width="6.42578125" bestFit="1" customWidth="1"/>
    <col min="8" max="8" width="9.5703125" bestFit="1" customWidth="1"/>
    <col min="9" max="9" width="6.42578125" bestFit="1" customWidth="1"/>
    <col min="10" max="10" width="9.5703125" bestFit="1" customWidth="1"/>
    <col min="11" max="11" width="11.42578125" bestFit="1" customWidth="1"/>
  </cols>
  <sheetData>
    <row r="3" spans="1:6">
      <c r="A3" s="30" t="s">
        <v>0</v>
      </c>
      <c r="B3" t="s">
        <v>1</v>
      </c>
      <c r="C3" t="s">
        <v>2</v>
      </c>
    </row>
    <row r="4" spans="1:6">
      <c r="A4" t="s">
        <v>3</v>
      </c>
      <c r="B4" s="11">
        <v>2000</v>
      </c>
      <c r="C4" s="11">
        <v>4</v>
      </c>
    </row>
    <row r="5" spans="1:6">
      <c r="A5" t="s">
        <v>4</v>
      </c>
      <c r="B5" s="11">
        <v>1000</v>
      </c>
      <c r="C5" s="11">
        <v>2</v>
      </c>
    </row>
    <row r="6" spans="1:6">
      <c r="A6" t="s">
        <v>5</v>
      </c>
      <c r="B6" s="11">
        <v>10500</v>
      </c>
      <c r="C6" s="11">
        <v>3</v>
      </c>
    </row>
    <row r="7" spans="1:6">
      <c r="A7" t="s">
        <v>6</v>
      </c>
      <c r="B7" s="11">
        <v>13500</v>
      </c>
      <c r="C7" s="11">
        <v>9</v>
      </c>
    </row>
    <row r="14" spans="1:6">
      <c r="A14" s="30" t="s">
        <v>2</v>
      </c>
      <c r="B14" s="30" t="s">
        <v>7</v>
      </c>
    </row>
    <row r="15" spans="1:6">
      <c r="A15" s="30" t="s">
        <v>8</v>
      </c>
      <c r="B15" s="10">
        <v>0</v>
      </c>
      <c r="C15" s="10">
        <v>0.05</v>
      </c>
      <c r="D15" s="10">
        <v>0.1</v>
      </c>
      <c r="E15" s="10">
        <v>0.15</v>
      </c>
      <c r="F15" s="10" t="s">
        <v>6</v>
      </c>
    </row>
    <row r="16" spans="1:6">
      <c r="A16" t="s">
        <v>9</v>
      </c>
      <c r="B16" s="11"/>
      <c r="C16" s="11">
        <v>6</v>
      </c>
      <c r="D16" s="11"/>
      <c r="E16" s="11"/>
      <c r="F16" s="11">
        <v>6</v>
      </c>
    </row>
    <row r="17" spans="1:6">
      <c r="A17" t="s">
        <v>10</v>
      </c>
      <c r="B17" s="11">
        <v>2</v>
      </c>
      <c r="C17" s="11"/>
      <c r="D17" s="11">
        <v>1</v>
      </c>
      <c r="E17" s="11"/>
      <c r="F17" s="11">
        <v>3</v>
      </c>
    </row>
    <row r="18" spans="1:6">
      <c r="A18" t="s">
        <v>11</v>
      </c>
      <c r="B18" s="11">
        <v>3</v>
      </c>
      <c r="C18" s="11"/>
      <c r="D18" s="11"/>
      <c r="E18" s="11"/>
      <c r="F18" s="11">
        <v>3</v>
      </c>
    </row>
    <row r="19" spans="1:6">
      <c r="A19" t="s">
        <v>12</v>
      </c>
      <c r="B19" s="11"/>
      <c r="C19" s="11"/>
      <c r="D19" s="11"/>
      <c r="E19" s="11">
        <v>1</v>
      </c>
      <c r="F19" s="11">
        <v>1</v>
      </c>
    </row>
    <row r="20" spans="1:6">
      <c r="A20" t="s">
        <v>6</v>
      </c>
      <c r="B20" s="11">
        <v>5</v>
      </c>
      <c r="C20" s="11">
        <v>6</v>
      </c>
      <c r="D20" s="11">
        <v>1</v>
      </c>
      <c r="E20" s="11">
        <v>1</v>
      </c>
      <c r="F20" s="11">
        <v>13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3"/>
  <sheetViews>
    <sheetView workbookViewId="0">
      <selection activeCell="F4" sqref="F4"/>
    </sheetView>
  </sheetViews>
  <sheetFormatPr defaultRowHeight="15"/>
  <cols>
    <col min="2" max="2" width="12.42578125" bestFit="1" customWidth="1"/>
    <col min="3" max="3" width="24.5703125" style="2" bestFit="1" customWidth="1"/>
    <col min="4" max="4" width="19.42578125" bestFit="1" customWidth="1"/>
    <col min="5" max="5" width="10.42578125" bestFit="1" customWidth="1"/>
    <col min="6" max="6" width="14.7109375" bestFit="1" customWidth="1"/>
    <col min="7" max="7" width="12" bestFit="1" customWidth="1"/>
    <col min="8" max="8" width="13.5703125" bestFit="1" customWidth="1"/>
    <col min="9" max="9" width="15" bestFit="1" customWidth="1"/>
    <col min="10" max="10" width="15.42578125" bestFit="1" customWidth="1"/>
    <col min="11" max="11" width="11.140625" bestFit="1" customWidth="1"/>
  </cols>
  <sheetData>
    <row r="1" spans="2:11" ht="51" customHeight="1">
      <c r="E1" s="5"/>
      <c r="F1" s="5"/>
      <c r="G1" s="5"/>
      <c r="H1" s="5"/>
    </row>
    <row r="2" spans="2:11" ht="18.75" customHeight="1">
      <c r="B2" s="3" t="s">
        <v>13</v>
      </c>
      <c r="C2" s="8" t="s">
        <v>14</v>
      </c>
      <c r="D2" s="4" t="s">
        <v>0</v>
      </c>
      <c r="E2" s="3" t="s">
        <v>15</v>
      </c>
      <c r="F2" s="3" t="s">
        <v>8</v>
      </c>
      <c r="G2" s="3" t="s">
        <v>16</v>
      </c>
      <c r="H2" s="3" t="s">
        <v>17</v>
      </c>
      <c r="I2" s="3" t="s">
        <v>7</v>
      </c>
      <c r="J2" s="3" t="s">
        <v>18</v>
      </c>
      <c r="K2" s="12" t="s">
        <v>19</v>
      </c>
    </row>
    <row r="3" spans="2:11">
      <c r="B3" s="7" t="s">
        <v>20</v>
      </c>
      <c r="C3" s="9">
        <v>45292</v>
      </c>
      <c r="D3" t="s">
        <v>4</v>
      </c>
      <c r="E3" t="s">
        <v>21</v>
      </c>
      <c r="F3" t="s">
        <v>9</v>
      </c>
      <c r="G3">
        <v>2</v>
      </c>
      <c r="H3">
        <v>500</v>
      </c>
      <c r="I3" s="10">
        <v>0.05</v>
      </c>
      <c r="J3" t="s">
        <v>22</v>
      </c>
      <c r="K3">
        <f>SUM(Table1[[#This Row],[Unit_Price]]*Table1[[#This Row],[Quantity]])</f>
        <v>1000</v>
      </c>
    </row>
    <row r="4" spans="2:11">
      <c r="B4" s="7" t="s">
        <v>23</v>
      </c>
      <c r="C4" s="9">
        <v>45323</v>
      </c>
      <c r="D4" t="s">
        <v>24</v>
      </c>
      <c r="E4" t="s">
        <v>25</v>
      </c>
      <c r="F4" t="s">
        <v>10</v>
      </c>
      <c r="G4">
        <v>1</v>
      </c>
      <c r="H4">
        <v>1200</v>
      </c>
      <c r="I4" s="10">
        <v>0.1</v>
      </c>
      <c r="J4" t="s">
        <v>26</v>
      </c>
      <c r="K4">
        <f>SUM(Table1[[#This Row],[Unit_Price]]*Table1[[#This Row],[Quantity]])</f>
        <v>1200</v>
      </c>
    </row>
    <row r="5" spans="2:11">
      <c r="B5" s="7" t="s">
        <v>27</v>
      </c>
      <c r="C5" s="9">
        <v>45352</v>
      </c>
      <c r="D5" t="s">
        <v>5</v>
      </c>
      <c r="E5" t="s">
        <v>28</v>
      </c>
      <c r="F5" t="s">
        <v>11</v>
      </c>
      <c r="G5">
        <v>3</v>
      </c>
      <c r="H5">
        <v>3500</v>
      </c>
      <c r="I5" s="10">
        <v>0</v>
      </c>
      <c r="J5" t="s">
        <v>22</v>
      </c>
      <c r="K5">
        <f>SUM(Table1[[#This Row],[Unit_Price]]*Table1[[#This Row],[Quantity]])</f>
        <v>10500</v>
      </c>
    </row>
    <row r="6" spans="2:11">
      <c r="B6" s="7" t="s">
        <v>29</v>
      </c>
      <c r="C6" s="9">
        <v>45383</v>
      </c>
      <c r="D6" t="s">
        <v>30</v>
      </c>
      <c r="E6" t="s">
        <v>31</v>
      </c>
      <c r="F6" t="s">
        <v>12</v>
      </c>
      <c r="G6">
        <v>1</v>
      </c>
      <c r="H6">
        <v>7000</v>
      </c>
      <c r="I6" s="10">
        <v>0.15</v>
      </c>
      <c r="J6" t="s">
        <v>32</v>
      </c>
      <c r="K6">
        <f>SUM(Table1[[#This Row],[Unit_Price]]*Table1[[#This Row],[Quantity]])</f>
        <v>7000</v>
      </c>
    </row>
    <row r="7" spans="2:11">
      <c r="B7" s="7" t="s">
        <v>33</v>
      </c>
      <c r="C7" s="9">
        <v>45413</v>
      </c>
      <c r="D7" t="s">
        <v>3</v>
      </c>
      <c r="E7" t="s">
        <v>34</v>
      </c>
      <c r="F7" t="s">
        <v>9</v>
      </c>
      <c r="G7">
        <v>4</v>
      </c>
      <c r="H7">
        <v>500</v>
      </c>
      <c r="I7" s="10">
        <v>0.05</v>
      </c>
      <c r="J7" t="s">
        <v>22</v>
      </c>
      <c r="K7">
        <f>SUM(Table1[[#This Row],[Unit_Price]]*Table1[[#This Row],[Quantity]])</f>
        <v>2000</v>
      </c>
    </row>
    <row r="8" spans="2:11">
      <c r="B8" s="7" t="s">
        <v>35</v>
      </c>
      <c r="C8" s="9">
        <v>45444</v>
      </c>
      <c r="D8" t="s">
        <v>36</v>
      </c>
      <c r="E8" t="s">
        <v>21</v>
      </c>
      <c r="F8" t="s">
        <v>10</v>
      </c>
      <c r="G8">
        <v>2</v>
      </c>
      <c r="H8">
        <v>1200</v>
      </c>
      <c r="I8" s="10">
        <v>0</v>
      </c>
      <c r="J8" t="s">
        <v>32</v>
      </c>
      <c r="K8">
        <f>SUM(Table1[[#This Row],[Unit_Price]]*Table1[[#This Row],[Quantity]])</f>
        <v>2400</v>
      </c>
    </row>
    <row r="9" spans="2:11">
      <c r="J9" t="s">
        <v>37</v>
      </c>
      <c r="K9" t="s">
        <v>38</v>
      </c>
    </row>
    <row r="10" spans="2:11" ht="18.75">
      <c r="F10" s="6" t="s">
        <v>39</v>
      </c>
      <c r="J10" t="s">
        <v>40</v>
      </c>
      <c r="K10">
        <f>SUM(Table1[Total])</f>
        <v>24100</v>
      </c>
    </row>
    <row r="11" spans="2:11">
      <c r="J11" t="s">
        <v>41</v>
      </c>
      <c r="K11">
        <f>AVERAGE(Table1[Total])</f>
        <v>4016.6666666666665</v>
      </c>
    </row>
    <row r="12" spans="2:11">
      <c r="J12" t="s">
        <v>42</v>
      </c>
      <c r="K12">
        <f>MEDIAN(Table1[Total])</f>
        <v>2200</v>
      </c>
    </row>
    <row r="13" spans="2:11">
      <c r="J13" t="s">
        <v>43</v>
      </c>
      <c r="K13" t="e">
        <f>MODE(Table1[Total])</f>
        <v>#N/A</v>
      </c>
    </row>
  </sheetData>
  <conditionalFormatting sqref="H3:H8">
    <cfRule type="cellIs" dxfId="42" priority="3" operator="greaterThan">
      <formula>1500</formula>
    </cfRule>
  </conditionalFormatting>
  <conditionalFormatting sqref="G2:G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{19A80FB2-BCF0-46E4-B567-59EC5F53F880}</x14:id>
        </ext>
      </extLst>
    </cfRule>
  </conditionalFormatting>
  <dataValidations count="2">
    <dataValidation type="list" allowBlank="1" showInputMessage="1" showErrorMessage="1" sqref="J3:J8" xr:uid="{67B29C0F-48C4-48D7-89A9-E7E3222D5AD2}">
      <formula1>"ajay,meena,ravi"</formula1>
    </dataValidation>
    <dataValidation type="list" allowBlank="1" showInputMessage="1" showErrorMessage="1" error="coose from above" promptTitle="select city" prompt="please selet city" sqref="E3" xr:uid="{28154C6E-2B5F-4DDC-A6EA-99F0BF45E95B}">
      <formula1>$E$4:$E$8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A80FB2-BCF0-46E4-B567-59EC5F53F8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G2:G8</xm:sqref>
        </x14:conditionalFormatting>
        <x14:conditionalFormatting xmlns:xm="http://schemas.microsoft.com/office/excel/2006/main">
          <x14:cfRule type="iconSet" priority="1" id="{320EC12C-76AB-46FD-98D7-A13B5B01D17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G3:G8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A91A-22CA-4EF8-B9F8-22B39C04AFBD}">
  <dimension ref="B1:N13"/>
  <sheetViews>
    <sheetView workbookViewId="0">
      <selection activeCell="D13" sqref="D13"/>
    </sheetView>
  </sheetViews>
  <sheetFormatPr defaultRowHeight="15"/>
  <cols>
    <col min="2" max="2" width="13.140625" bestFit="1" customWidth="1"/>
    <col min="3" max="3" width="16.42578125" bestFit="1" customWidth="1"/>
    <col min="4" max="4" width="34.140625" customWidth="1"/>
    <col min="5" max="5" width="12.42578125" bestFit="1" customWidth="1"/>
    <col min="6" max="6" width="39" customWidth="1"/>
    <col min="7" max="7" width="29.7109375" customWidth="1"/>
    <col min="8" max="9" width="11.7109375" customWidth="1"/>
    <col min="10" max="10" width="12.28515625" customWidth="1"/>
    <col min="11" max="11" width="13.42578125" bestFit="1" customWidth="1"/>
    <col min="12" max="12" width="11.42578125" customWidth="1"/>
    <col min="13" max="13" width="26.140625" bestFit="1" customWidth="1"/>
  </cols>
  <sheetData>
    <row r="1" spans="2:14" ht="27.75" customHeight="1"/>
    <row r="2" spans="2:14" ht="22.5" customHeight="1">
      <c r="G2" s="14" t="s">
        <v>44</v>
      </c>
      <c r="H2" s="14"/>
      <c r="I2" s="14"/>
      <c r="J2" s="14"/>
    </row>
    <row r="4" spans="2:14">
      <c r="B4" s="1" t="s">
        <v>8</v>
      </c>
      <c r="C4" s="1" t="s">
        <v>45</v>
      </c>
      <c r="D4" s="1" t="s">
        <v>16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20" t="s">
        <v>8</v>
      </c>
      <c r="L4" s="19" t="s">
        <v>52</v>
      </c>
      <c r="M4" s="18" t="s">
        <v>46</v>
      </c>
      <c r="N4" t="s">
        <v>51</v>
      </c>
    </row>
    <row r="5" spans="2:14">
      <c r="B5" t="s">
        <v>9</v>
      </c>
      <c r="C5" t="s">
        <v>53</v>
      </c>
      <c r="D5">
        <v>5</v>
      </c>
      <c r="E5" t="s">
        <v>54</v>
      </c>
      <c r="F5">
        <v>400</v>
      </c>
      <c r="G5">
        <f>Table3[[#This Row],[Quantity]]*Table3[[#This Row],[Cost_Price]]</f>
        <v>2000</v>
      </c>
      <c r="H5">
        <f>Table3[[#This Row],[Gross_Sale]]*5</f>
        <v>10000</v>
      </c>
      <c r="I5">
        <f>Table3[[#This Row],[Discount_Amount]]-Table3[[#This Row],[Gross_Sale]]</f>
        <v>8000</v>
      </c>
      <c r="J5">
        <f>Table3[[#This Row],[Net_Sales]]-(Table3[[#This Row],[Cost_Price]]*Table3[[#This Row],[Quantity]])</f>
        <v>6000</v>
      </c>
      <c r="K5" s="15" t="s">
        <v>9</v>
      </c>
      <c r="L5" t="str">
        <f>VLOOKUP(K5,Table3[],2,FALSE)</f>
        <v>Mouse</v>
      </c>
      <c r="M5" t="str" cm="1">
        <f t="array" ref="M5">_xlfn.XLOOKUP(L5,Table3[[#All],[Product_Name]],Table3[[#All],[Category]])</f>
        <v>Electronics</v>
      </c>
      <c r="N5">
        <f>Table3[[#This Row],[Cost_Price]]-300</f>
        <v>100</v>
      </c>
    </row>
    <row r="6" spans="2:14">
      <c r="B6" t="s">
        <v>10</v>
      </c>
      <c r="C6" t="s">
        <v>55</v>
      </c>
      <c r="D6">
        <v>2</v>
      </c>
      <c r="E6" t="s">
        <v>54</v>
      </c>
      <c r="F6">
        <v>900</v>
      </c>
      <c r="G6">
        <f>Table3[[#This Row],[Quantity]]*Table3[[#This Row],[Cost_Price]]</f>
        <v>1800</v>
      </c>
      <c r="H6">
        <f>Table3[[#This Row],[Gross_Sale]]*5</f>
        <v>9000</v>
      </c>
      <c r="I6">
        <f>Table3[[#This Row],[Discount_Amount]]-Table3[[#This Row],[Gross_Sale]]</f>
        <v>7200</v>
      </c>
      <c r="J6">
        <f>Table3[[#This Row],[Net_Sales]]-(Table3[[#This Row],[Cost_Price]]*Table3[[#This Row],[Quantity]])</f>
        <v>5400</v>
      </c>
      <c r="K6" s="15" t="s">
        <v>10</v>
      </c>
      <c r="L6" t="str">
        <f>VLOOKUP(K6,Table3[],2,FALSE)</f>
        <v>Keyboard</v>
      </c>
      <c r="M6" t="str" cm="1">
        <f t="array" ref="M6">_xlfn.XLOOKUP(L6,Table3[[#All],[Product_Name]],Table3[[#All],[Category]])</f>
        <v>Electronics</v>
      </c>
      <c r="N6">
        <f>Table3[[#This Row],[Cost_Price]]-300</f>
        <v>600</v>
      </c>
    </row>
    <row r="7" spans="2:14">
      <c r="B7" t="s">
        <v>11</v>
      </c>
      <c r="C7" t="s">
        <v>56</v>
      </c>
      <c r="D7">
        <v>1</v>
      </c>
      <c r="E7" t="s">
        <v>57</v>
      </c>
      <c r="F7">
        <v>3000</v>
      </c>
      <c r="G7">
        <f>Table3[[#This Row],[Quantity]]*Table3[[#This Row],[Cost_Price]]</f>
        <v>3000</v>
      </c>
      <c r="H7">
        <f>Table3[[#This Row],[Gross_Sale]]*5</f>
        <v>15000</v>
      </c>
      <c r="I7">
        <f>Table3[[#This Row],[Discount_Amount]]-Table3[[#This Row],[Gross_Sale]]</f>
        <v>12000</v>
      </c>
      <c r="J7">
        <f>Table3[[#This Row],[Net_Sales]]-(Table3[[#This Row],[Cost_Price]]*Table3[[#This Row],[Quantity]])</f>
        <v>9000</v>
      </c>
      <c r="K7" s="15" t="s">
        <v>11</v>
      </c>
      <c r="L7" t="str">
        <f>VLOOKUP(K7,Table3[],2,FALSE)</f>
        <v>Chair</v>
      </c>
      <c r="M7" t="str" cm="1">
        <f t="array" ref="M7">_xlfn.XLOOKUP(L7,Table3[[#All],[Product_Name]],Table3[[#All],[Category]])</f>
        <v>Furniture</v>
      </c>
      <c r="N7">
        <f>Table3[[#This Row],[Cost_Price]]-300</f>
        <v>2700</v>
      </c>
    </row>
    <row r="8" spans="2:14">
      <c r="B8" t="s">
        <v>12</v>
      </c>
      <c r="C8" t="s">
        <v>58</v>
      </c>
      <c r="D8">
        <v>3</v>
      </c>
      <c r="E8" t="s">
        <v>57</v>
      </c>
      <c r="F8">
        <v>6500</v>
      </c>
      <c r="G8">
        <f>Table3[[#This Row],[Quantity]]*Table3[[#This Row],[Cost_Price]]</f>
        <v>19500</v>
      </c>
      <c r="H8">
        <f>Table3[[#This Row],[Gross_Sale]]*5</f>
        <v>97500</v>
      </c>
      <c r="I8">
        <f>Table3[[#This Row],[Discount_Amount]]-Table3[[#This Row],[Gross_Sale]]</f>
        <v>78000</v>
      </c>
      <c r="J8">
        <f>Table3[[#This Row],[Net_Sales]]-(Table3[[#This Row],[Cost_Price]]*Table3[[#This Row],[Quantity]])</f>
        <v>58500</v>
      </c>
      <c r="K8" s="16" t="s">
        <v>12</v>
      </c>
      <c r="L8" t="str">
        <f>VLOOKUP(K8,Table3[],2,FALSE)</f>
        <v>Desk</v>
      </c>
      <c r="M8" t="str" cm="1">
        <f t="array" ref="M8">_xlfn.XLOOKUP(L8,Table3[[#All],[Product_Name]],Table3[[#All],[Category]])</f>
        <v>Furniture</v>
      </c>
      <c r="N8">
        <f>Table3[[#This Row],[Cost_Price]]-300</f>
        <v>6200</v>
      </c>
    </row>
    <row r="9" spans="2:14">
      <c r="C9" s="21" t="s">
        <v>59</v>
      </c>
      <c r="D9">
        <f>SUBTOTAL(104,D5:D8)</f>
        <v>5</v>
      </c>
      <c r="E9" s="21" t="s">
        <v>60</v>
      </c>
      <c r="F9">
        <f>AVERAGE(Table3[Cost_Price])</f>
        <v>2700</v>
      </c>
      <c r="G9" s="11">
        <f>SUM(Table3[Gross_Sale])</f>
        <v>26300</v>
      </c>
      <c r="H9" s="11"/>
      <c r="I9" s="11"/>
      <c r="J9" s="11"/>
      <c r="K9" s="17" t="s">
        <v>61</v>
      </c>
      <c r="L9" s="17" t="s">
        <v>62</v>
      </c>
      <c r="M9" t="s">
        <v>63</v>
      </c>
    </row>
    <row r="10" spans="2:14">
      <c r="C10" s="21" t="s">
        <v>64</v>
      </c>
      <c r="D10">
        <f>MIN(Table3[Quantity])</f>
        <v>1</v>
      </c>
      <c r="E10" s="21" t="s">
        <v>59</v>
      </c>
      <c r="F10">
        <f>MAX(Table3[Cost_Price])</f>
        <v>6500</v>
      </c>
      <c r="G10">
        <f>_xlfn.XLOOKUP(L6,C:C,D:D,0)</f>
        <v>2</v>
      </c>
    </row>
    <row r="11" spans="2:14" ht="30.75">
      <c r="C11" s="21" t="s">
        <v>65</v>
      </c>
      <c r="D11" s="13">
        <f>_xlfn.MAXIFS(Table3[Quantity],Table3[Category],"Electronics")</f>
        <v>5</v>
      </c>
      <c r="E11" s="21" t="s">
        <v>64</v>
      </c>
      <c r="F11">
        <f>MIN(Table3[Cost_Price])</f>
        <v>400</v>
      </c>
      <c r="G11">
        <f>_xlfn.XLOOKUP(L7,C:C,D:D,0)</f>
        <v>1</v>
      </c>
    </row>
    <row r="12" spans="2:14" ht="30.75">
      <c r="C12" s="21" t="s">
        <v>66</v>
      </c>
      <c r="D12">
        <f>IFERROR(D8,"erroe")</f>
        <v>3</v>
      </c>
      <c r="E12" s="21" t="s">
        <v>67</v>
      </c>
      <c r="F12" s="13">
        <f>SUMIF(Table3[Category],"Electronics",Table3[Cost_Price])</f>
        <v>1300</v>
      </c>
      <c r="G12">
        <f>_xlfn.XLOOKUP(L8,C:C,D:D,0)</f>
        <v>3</v>
      </c>
      <c r="K12" t="s">
        <v>68</v>
      </c>
      <c r="L12" s="13"/>
    </row>
    <row r="13" spans="2:14" ht="21" customHeight="1">
      <c r="K13" t="s">
        <v>69</v>
      </c>
      <c r="L13" s="13" t="e">
        <f>MATCH(M7,D:D,0)</f>
        <v>#N/A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8957-FBE4-43BC-9FA1-2FFAEF44124E}">
  <dimension ref="C5:P11"/>
  <sheetViews>
    <sheetView topLeftCell="B1" workbookViewId="0">
      <selection activeCell="G15" sqref="G15"/>
    </sheetView>
  </sheetViews>
  <sheetFormatPr defaultRowHeight="15"/>
  <cols>
    <col min="3" max="3" width="18.140625" bestFit="1" customWidth="1"/>
    <col min="4" max="4" width="14.7109375" bestFit="1" customWidth="1"/>
    <col min="5" max="5" width="19.5703125" bestFit="1" customWidth="1"/>
    <col min="6" max="6" width="11.7109375" bestFit="1" customWidth="1"/>
    <col min="7" max="7" width="18.140625" customWidth="1"/>
    <col min="12" max="12" width="5.85546875" customWidth="1"/>
    <col min="13" max="13" width="18.5703125" customWidth="1"/>
    <col min="14" max="14" width="18.85546875" bestFit="1" customWidth="1"/>
    <col min="15" max="15" width="12.42578125" customWidth="1"/>
    <col min="16" max="16" width="15" customWidth="1"/>
  </cols>
  <sheetData>
    <row r="5" spans="3:16">
      <c r="C5" s="1" t="s">
        <v>70</v>
      </c>
      <c r="D5" s="1" t="s">
        <v>71</v>
      </c>
      <c r="E5" s="1" t="s">
        <v>0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</row>
    <row r="6" spans="3:16" ht="31.5" customHeight="1">
      <c r="C6" t="s">
        <v>83</v>
      </c>
      <c r="D6" t="s">
        <v>84</v>
      </c>
      <c r="E6" t="s">
        <v>85</v>
      </c>
      <c r="F6" s="22" t="s">
        <v>86</v>
      </c>
      <c r="G6">
        <v>9876543210</v>
      </c>
      <c r="H6" t="str">
        <f>LEFT(Table6[[#This Row],[Customer_Name]],2)</f>
        <v>Ra</v>
      </c>
      <c r="I6" t="str">
        <f>RIGHT(Table6[[#This Row],[Customer_Name]],4)</f>
        <v>arma</v>
      </c>
      <c r="J6" t="str">
        <f>MID(Table6[[#This Row],[Customer_Name]],2,5)</f>
        <v xml:space="preserve">ahul </v>
      </c>
      <c r="K6">
        <f>LEN(Table6[[#This Row],[Customer_Name]])</f>
        <v>12</v>
      </c>
      <c r="L6">
        <f>FIND("a",Table6[[#This Row],[Customer_Name]])</f>
        <v>2</v>
      </c>
      <c r="M6" s="13" t="str">
        <f>_xlfn.CONCAT(Table6[[#This Row],[Fname]]," ",Table6[[#This Row],[Customer_Name]])</f>
        <v>kesar Rahul Sharma</v>
      </c>
      <c r="N6" t="str">
        <f>_xlfn.TEXTJOIN(".",FALSE,Table6[[#This Row],[Fname]],Table6[[#This Row],[Customer_Name]])</f>
        <v>kesar.Rahul Sharma</v>
      </c>
      <c r="O6" t="str">
        <f>LOWER(Table6[[#This Row],[Customer_Name]])</f>
        <v>rahul sharma</v>
      </c>
      <c r="P6" t="str">
        <f>UPPER(Table6[[#This Row],[Customer_Name]])</f>
        <v>RAHUL SHARMA</v>
      </c>
    </row>
    <row r="7" spans="3:16">
      <c r="C7" t="s">
        <v>87</v>
      </c>
      <c r="D7" t="s">
        <v>88</v>
      </c>
      <c r="E7" t="s">
        <v>89</v>
      </c>
      <c r="F7" s="22" t="s">
        <v>90</v>
      </c>
      <c r="G7">
        <v>9123456780</v>
      </c>
      <c r="H7" t="str">
        <f>LEFT(Table6[[#This Row],[Customer_Name]],2)</f>
        <v>An</v>
      </c>
      <c r="I7" t="str">
        <f>RIGHT(Table6[[#This Row],[Customer_Name]],4)</f>
        <v xml:space="preserve"> Rao</v>
      </c>
      <c r="J7" t="str">
        <f>MID(Table6[[#This Row],[Customer_Name]],2,5)</f>
        <v>njali</v>
      </c>
      <c r="K7">
        <f>LEN(Table6[[#This Row],[Customer_Name]])</f>
        <v>10</v>
      </c>
      <c r="L7">
        <f>FIND("a",Table6[[#This Row],[Customer_Name]])</f>
        <v>4</v>
      </c>
      <c r="M7" t="str">
        <f>_xlfn.CONCAT(Table6[[#This Row],[Fname]]," ",Table6[[#This Row],[Customer_Name]])</f>
        <v>tica Anjali Rao</v>
      </c>
      <c r="N7" t="str">
        <f>_xlfn.TEXTJOIN(".",FALSE,Table6[[#This Row],[Fname]],Table6[[#This Row],[Customer_Name]])</f>
        <v>tica.Anjali Rao</v>
      </c>
      <c r="O7" t="str">
        <f>LOWER(Table6[[#This Row],[Customer_Name]])</f>
        <v>anjali rao</v>
      </c>
      <c r="P7" t="str">
        <f>UPPER(Table6[[#This Row],[Customer_Name]])</f>
        <v>ANJALI RAO</v>
      </c>
    </row>
    <row r="8" spans="3:16">
      <c r="C8" t="s">
        <v>91</v>
      </c>
      <c r="D8" t="s">
        <v>92</v>
      </c>
      <c r="E8" t="s">
        <v>93</v>
      </c>
      <c r="F8" s="22" t="s">
        <v>94</v>
      </c>
      <c r="G8">
        <v>9988776655</v>
      </c>
      <c r="H8" t="str">
        <f>LEFT(Table6[[#This Row],[Customer_Name]],2)</f>
        <v>Su</v>
      </c>
      <c r="I8" t="str">
        <f>RIGHT(Table6[[#This Row],[Customer_Name]],4)</f>
        <v>umar</v>
      </c>
      <c r="J8" t="str">
        <f>MID(Table6[[#This Row],[Customer_Name]],2,5)</f>
        <v>uresh</v>
      </c>
      <c r="K8">
        <f>LEN(Table6[[#This Row],[Customer_Name]])</f>
        <v>12</v>
      </c>
      <c r="L8">
        <f>FIND("a",Table6[[#This Row],[Customer_Name]])</f>
        <v>11</v>
      </c>
      <c r="M8" t="str">
        <f>_xlfn.CONCAT(Table6[[#This Row],[Fname]]," ",Table6[[#This Row],[Customer_Name]])</f>
        <v>penta Suresh Kumar</v>
      </c>
      <c r="N8" t="str">
        <f>_xlfn.TEXTJOIN(".",FALSE,Table6[[#This Row],[Fname]],Table6[[#This Row],[Customer_Name]])</f>
        <v>penta.Suresh Kumar</v>
      </c>
      <c r="O8" t="str">
        <f>LOWER(Table6[[#This Row],[Customer_Name]])</f>
        <v>suresh kumar</v>
      </c>
      <c r="P8" t="str">
        <f>UPPER(Table6[[#This Row],[Customer_Name]])</f>
        <v>SURESH KUMAR</v>
      </c>
    </row>
    <row r="9" spans="3:16">
      <c r="C9" t="s">
        <v>95</v>
      </c>
      <c r="D9" t="s">
        <v>96</v>
      </c>
      <c r="E9" t="s">
        <v>97</v>
      </c>
      <c r="F9" s="22" t="s">
        <v>98</v>
      </c>
      <c r="G9">
        <v>9877654433</v>
      </c>
      <c r="H9" t="str">
        <f>LEFT(Table6[[#This Row],[Customer_Name]],2)</f>
        <v>ci</v>
      </c>
      <c r="I9" t="str">
        <f>RIGHT(Table6[[#This Row],[Customer_Name]],4)</f>
        <v>inta</v>
      </c>
      <c r="J9" t="str">
        <f>MID(Table6[[#This Row],[Customer_Name]],2,5)</f>
        <v>inta</v>
      </c>
      <c r="K9">
        <f>LEN(Table6[[#This Row],[Customer_Name]])</f>
        <v>5</v>
      </c>
      <c r="L9">
        <f>FIND("a",Table6[[#This Row],[Customer_Name]])</f>
        <v>5</v>
      </c>
      <c r="M9" t="str">
        <f>_xlfn.CONCAT(Table6[[#This Row],[Fname]]," ",Table6[[#This Row],[Customer_Name]])</f>
        <v>sonta cinta</v>
      </c>
      <c r="N9" t="str">
        <f>_xlfn.TEXTJOIN(".",FALSE,Table6[[#This Row],[Fname]],Table6[[#This Row],[Customer_Name]])</f>
        <v>sonta.cinta</v>
      </c>
      <c r="O9" t="str">
        <f>LOWER(Table6[[#This Row],[Customer_Name]])</f>
        <v>cinta</v>
      </c>
      <c r="P9" t="str">
        <f>UPPER(Table6[[#This Row],[Customer_Name]])</f>
        <v>CINTA</v>
      </c>
    </row>
    <row r="10" spans="3:16">
      <c r="C10" t="s">
        <v>99</v>
      </c>
      <c r="D10" t="s">
        <v>100</v>
      </c>
      <c r="E10" t="s">
        <v>101</v>
      </c>
      <c r="F10" s="22" t="s">
        <v>102</v>
      </c>
      <c r="G10">
        <v>9877679980</v>
      </c>
      <c r="H10" t="str">
        <f>LEFT(Table6[[#This Row],[Customer_Name]],2)</f>
        <v>er</v>
      </c>
      <c r="I10" t="str">
        <f>RIGHT(Table6[[#This Row],[Customer_Name]],4)</f>
        <v>avii</v>
      </c>
      <c r="J10" t="str">
        <f>MID(Table6[[#This Row],[Customer_Name]],2,5)</f>
        <v>ravii</v>
      </c>
      <c r="K10">
        <f>LEN(Table6[[#This Row],[Customer_Name]])</f>
        <v>6</v>
      </c>
      <c r="L10">
        <f>FIND("a",Table6[[#This Row],[Customer_Name]])</f>
        <v>3</v>
      </c>
      <c r="M10" t="str">
        <f>_xlfn.CONCAT(Table6[[#This Row],[Fname]]," ",Table6[[#This Row],[Customer_Name]])</f>
        <v>maca eravii</v>
      </c>
      <c r="N10" t="str">
        <f>_xlfn.TEXTJOIN(".",FALSE,Table6[[#This Row],[Fname]],Table6[[#This Row],[Customer_Name]])</f>
        <v>maca.eravii</v>
      </c>
      <c r="O10" t="str">
        <f>LOWER(Table6[[#This Row],[Customer_Name]])</f>
        <v>eravii</v>
      </c>
      <c r="P10" t="str">
        <f>UPPER(Table6[[#This Row],[Customer_Name]])</f>
        <v>ERAVII</v>
      </c>
    </row>
    <row r="11" spans="3:16">
      <c r="C11" t="s">
        <v>103</v>
      </c>
      <c r="D11" t="s">
        <v>104</v>
      </c>
      <c r="E11" t="s">
        <v>105</v>
      </c>
      <c r="F11" s="22" t="s">
        <v>106</v>
      </c>
      <c r="G11">
        <v>9876543210</v>
      </c>
      <c r="H11" t="str">
        <f>LEFT(Table6[[#This Row],[Customer_Name]],2)</f>
        <v>si</v>
      </c>
      <c r="I11" t="str">
        <f>RIGHT(Table6[[#This Row],[Customer_Name]],4)</f>
        <v>siva</v>
      </c>
      <c r="J11" t="str">
        <f>MID(Table6[[#This Row],[Customer_Name]],2,5)</f>
        <v>iva</v>
      </c>
      <c r="K11">
        <f>LEN(Table6[[#This Row],[Customer_Name]])</f>
        <v>4</v>
      </c>
      <c r="L11">
        <f>FIND("a",Table6[[#This Row],[Customer_Name]])</f>
        <v>4</v>
      </c>
      <c r="M11" t="str">
        <f>_xlfn.CONCAT(Table6[[#This Row],[Fname]]," ",Table6[[#This Row],[Customer_Name]])</f>
        <v>buma siva</v>
      </c>
      <c r="N11" t="str">
        <f>_xlfn.TEXTJOIN(".",FALSE,Table6[[#This Row],[Fname]],Table6[[#This Row],[Customer_Name]])</f>
        <v>buma.siva</v>
      </c>
      <c r="O11" t="str">
        <f>LOWER(Table6[[#This Row],[Customer_Name]])</f>
        <v>siva</v>
      </c>
      <c r="P11" t="str">
        <f>UPPER(Table6[[#This Row],[Customer_Name]])</f>
        <v>SIVA</v>
      </c>
    </row>
  </sheetData>
  <hyperlinks>
    <hyperlink ref="F6" r:id="rId1" xr:uid="{DD5D8B8D-61B8-49E0-A3E3-08EC75B1A5CE}"/>
    <hyperlink ref="F8" r:id="rId2" xr:uid="{DC35BB69-B9B2-4C2E-B9AD-75F317CD10CF}"/>
    <hyperlink ref="F9" r:id="rId3" xr:uid="{6513F015-1ACA-4650-A288-3A1344BB8EA1}"/>
    <hyperlink ref="F7" r:id="rId4" xr:uid="{E7AAEC13-A50A-49CE-9B9F-E64B570B6774}"/>
    <hyperlink ref="F10" r:id="rId5" xr:uid="{8B041211-E9B3-4F18-A98B-C9E3496ABF07}"/>
    <hyperlink ref="F11" r:id="rId6" xr:uid="{EE28BD10-4D9A-40CC-B27D-4F2A81808597}"/>
  </hyperlinks>
  <pageMargins left="0.7" right="0.7" top="0.75" bottom="0.75" header="0.3" footer="0.3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9DDE-D692-4341-BC45-112B479A3C01}">
  <dimension ref="C3:I9"/>
  <sheetViews>
    <sheetView workbookViewId="0">
      <selection activeCell="J8" sqref="J8"/>
    </sheetView>
  </sheetViews>
  <sheetFormatPr defaultRowHeight="15"/>
  <cols>
    <col min="3" max="3" width="19.85546875" customWidth="1"/>
    <col min="4" max="4" width="24.5703125" style="9" bestFit="1" customWidth="1"/>
    <col min="5" max="5" width="13.42578125" bestFit="1" customWidth="1"/>
    <col min="6" max="6" width="14.7109375" bestFit="1" customWidth="1"/>
    <col min="9" max="9" width="20.85546875" style="29" customWidth="1"/>
  </cols>
  <sheetData>
    <row r="3" spans="3:9">
      <c r="C3" s="1" t="s">
        <v>107</v>
      </c>
      <c r="D3" s="25" t="s">
        <v>108</v>
      </c>
      <c r="E3" s="1" t="s">
        <v>109</v>
      </c>
      <c r="F3" s="1" t="s">
        <v>110</v>
      </c>
      <c r="G3" s="1" t="s">
        <v>111</v>
      </c>
      <c r="H3" s="1" t="s">
        <v>112</v>
      </c>
      <c r="I3" s="28" t="s">
        <v>113</v>
      </c>
    </row>
    <row r="4" spans="3:9">
      <c r="C4" t="s">
        <v>114</v>
      </c>
      <c r="D4" s="27">
        <v>45292</v>
      </c>
      <c r="E4" s="23">
        <v>0.37847222222222221</v>
      </c>
      <c r="F4" s="23">
        <v>0.75694444444444442</v>
      </c>
      <c r="G4">
        <f>MONTH(Table4[[#This Row],[Date]])</f>
        <v>1</v>
      </c>
      <c r="H4">
        <f>YEAR(Table4[[#This Row],[Date]])</f>
        <v>2024</v>
      </c>
      <c r="I4" s="29">
        <f>Table4[[#This Row],[Logout_Time]]-Table4[[#This Row],[Login_Time]]</f>
        <v>0.37847222222222221</v>
      </c>
    </row>
    <row r="5" spans="3:9">
      <c r="C5" t="s">
        <v>115</v>
      </c>
      <c r="D5" s="27">
        <v>45323</v>
      </c>
      <c r="E5" s="23">
        <v>0.39583333333333331</v>
      </c>
      <c r="F5" s="23">
        <v>0.74305555555555558</v>
      </c>
      <c r="G5">
        <f>MONTH(Table4[[#This Row],[Date]])</f>
        <v>2</v>
      </c>
      <c r="H5">
        <f>YEAR(Table4[[#This Row],[Date]])</f>
        <v>2024</v>
      </c>
      <c r="I5" s="29">
        <f>Table4[[#This Row],[Logout_Time]]-Table4[[#This Row],[Login_Time]]</f>
        <v>0.34722222222222227</v>
      </c>
    </row>
    <row r="6" spans="3:9">
      <c r="C6" t="s">
        <v>116</v>
      </c>
      <c r="D6" s="27">
        <v>45293</v>
      </c>
      <c r="E6" s="23">
        <v>0.37152777777777779</v>
      </c>
      <c r="F6" s="23">
        <v>0.77777777777777779</v>
      </c>
      <c r="G6">
        <f>MONTH(Table4[[#This Row],[Date]])</f>
        <v>1</v>
      </c>
      <c r="H6">
        <f>YEAR(Table4[[#This Row],[Date]])</f>
        <v>2024</v>
      </c>
      <c r="I6" s="29">
        <f>Table4[[#This Row],[Logout_Time]]-Table4[[#This Row],[Login_Time]]</f>
        <v>0.40625</v>
      </c>
    </row>
    <row r="7" spans="3:9">
      <c r="D7" s="26"/>
      <c r="E7" s="23"/>
      <c r="F7" s="23"/>
      <c r="G7" s="11"/>
    </row>
    <row r="8" spans="3:9">
      <c r="C8" s="24">
        <f ca="1">NOW()</f>
        <v>46092.636135763889</v>
      </c>
    </row>
    <row r="9" spans="3:9">
      <c r="C9" s="2">
        <f ca="1">TODAY()</f>
        <v>46092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23AA-CF64-4897-9486-A365BB97BC29}">
  <dimension ref="A1:L46"/>
  <sheetViews>
    <sheetView workbookViewId="0">
      <selection activeCell="A2" sqref="A2:L45"/>
    </sheetView>
  </sheetViews>
  <sheetFormatPr defaultRowHeight="15"/>
  <cols>
    <col min="1" max="1" width="11.28515625" bestFit="1" customWidth="1"/>
    <col min="2" max="2" width="13.5703125" style="2" bestFit="1" customWidth="1"/>
    <col min="3" max="3" width="10.140625" bestFit="1" customWidth="1"/>
    <col min="4" max="4" width="11.140625" bestFit="1" customWidth="1"/>
    <col min="5" max="5" width="13.85546875" bestFit="1" customWidth="1"/>
    <col min="6" max="6" width="10.42578125" bestFit="1" customWidth="1"/>
    <col min="7" max="7" width="11" bestFit="1" customWidth="1"/>
    <col min="8" max="9" width="12.42578125" bestFit="1" customWidth="1"/>
    <col min="10" max="10" width="12.7109375" bestFit="1" customWidth="1"/>
    <col min="11" max="11" width="12" bestFit="1" customWidth="1"/>
    <col min="13" max="13" width="14" customWidth="1"/>
  </cols>
  <sheetData>
    <row r="1" spans="1:12">
      <c r="A1" s="1" t="s">
        <v>13</v>
      </c>
      <c r="B1" s="31" t="s">
        <v>14</v>
      </c>
      <c r="C1" s="1" t="s">
        <v>117</v>
      </c>
      <c r="D1" s="1" t="s">
        <v>46</v>
      </c>
      <c r="E1" s="1" t="s">
        <v>18</v>
      </c>
      <c r="F1" s="1" t="s">
        <v>15</v>
      </c>
      <c r="G1" s="1" t="s">
        <v>16</v>
      </c>
      <c r="H1" s="1" t="s">
        <v>17</v>
      </c>
      <c r="I1" s="1" t="s">
        <v>47</v>
      </c>
      <c r="J1" s="1" t="s">
        <v>118</v>
      </c>
      <c r="K1" s="1" t="s">
        <v>119</v>
      </c>
      <c r="L1" s="1" t="s">
        <v>51</v>
      </c>
    </row>
    <row r="2" spans="1:12">
      <c r="A2" t="s">
        <v>27</v>
      </c>
      <c r="B2" s="32">
        <v>45413</v>
      </c>
      <c r="C2" t="s">
        <v>56</v>
      </c>
      <c r="D2" s="36" t="s">
        <v>57</v>
      </c>
      <c r="E2" t="s">
        <v>114</v>
      </c>
      <c r="F2" t="s">
        <v>28</v>
      </c>
      <c r="G2">
        <v>3</v>
      </c>
      <c r="H2">
        <v>3500</v>
      </c>
      <c r="I2">
        <v>3000</v>
      </c>
      <c r="J2">
        <f>Table5[[#This Row],[Quantity]]*Table5[[#This Row],[Unit_Price]]</f>
        <v>10500</v>
      </c>
      <c r="K2">
        <f>Table5[[#This Row],[Quantity]]*Table5[[#This Row],[Cost_Price]]</f>
        <v>9000</v>
      </c>
      <c r="L2">
        <f>Table5[[#This Row],[Total Sales]]-Table5[[#This Row],[Cost_Price]]</f>
        <v>7500</v>
      </c>
    </row>
    <row r="3" spans="1:12">
      <c r="A3" t="s">
        <v>29</v>
      </c>
      <c r="B3" s="32">
        <v>45627</v>
      </c>
      <c r="C3" t="s">
        <v>58</v>
      </c>
      <c r="D3" s="36" t="s">
        <v>57</v>
      </c>
      <c r="E3" t="s">
        <v>116</v>
      </c>
      <c r="F3" t="s">
        <v>31</v>
      </c>
      <c r="G3">
        <v>1</v>
      </c>
      <c r="H3">
        <v>7000</v>
      </c>
      <c r="I3">
        <v>6500</v>
      </c>
      <c r="J3">
        <f>Table5[[#This Row],[Quantity]]*Table5[[#This Row],[Unit_Price]]</f>
        <v>7000</v>
      </c>
      <c r="K3">
        <f>Table5[[#This Row],[Quantity]]*Table5[[#This Row],[Cost_Price]]</f>
        <v>6500</v>
      </c>
      <c r="L3">
        <f>Table5[[#This Row],[Total Sales]]-Table5[[#This Row],[Cost_Price]]</f>
        <v>500</v>
      </c>
    </row>
    <row r="4" spans="1:12">
      <c r="A4" t="s">
        <v>120</v>
      </c>
      <c r="B4" s="32">
        <v>45415</v>
      </c>
      <c r="C4" t="s">
        <v>56</v>
      </c>
      <c r="D4" s="36" t="s">
        <v>57</v>
      </c>
      <c r="E4" t="s">
        <v>116</v>
      </c>
      <c r="F4" t="s">
        <v>25</v>
      </c>
      <c r="G4">
        <v>2</v>
      </c>
      <c r="H4">
        <v>3500</v>
      </c>
      <c r="I4">
        <v>3000</v>
      </c>
      <c r="J4">
        <f>Table5[[#This Row],[Quantity]]*Table5[[#This Row],[Unit_Price]]</f>
        <v>7000</v>
      </c>
      <c r="K4">
        <f>Table5[[#This Row],[Quantity]]*Table5[[#This Row],[Cost_Price]]</f>
        <v>6000</v>
      </c>
      <c r="L4">
        <f>Table5[[#This Row],[Total Sales]]-Table5[[#This Row],[Cost_Price]]</f>
        <v>4000</v>
      </c>
    </row>
    <row r="5" spans="1:12">
      <c r="A5" t="s">
        <v>121</v>
      </c>
      <c r="B5" s="32" t="s">
        <v>122</v>
      </c>
      <c r="C5" t="s">
        <v>58</v>
      </c>
      <c r="D5" s="36" t="s">
        <v>57</v>
      </c>
      <c r="E5" t="s">
        <v>114</v>
      </c>
      <c r="F5" t="s">
        <v>31</v>
      </c>
      <c r="G5">
        <v>1</v>
      </c>
      <c r="H5">
        <v>7000</v>
      </c>
      <c r="I5">
        <v>6500</v>
      </c>
      <c r="J5">
        <f>Table5[[#This Row],[Quantity]]*Table5[[#This Row],[Unit_Price]]</f>
        <v>7000</v>
      </c>
      <c r="K5">
        <f>Table5[[#This Row],[Quantity]]*Table5[[#This Row],[Cost_Price]]</f>
        <v>6500</v>
      </c>
      <c r="L5">
        <f>Table5[[#This Row],[Total Sales]]-Table5[[#This Row],[Cost_Price]]</f>
        <v>500</v>
      </c>
    </row>
    <row r="6" spans="1:12">
      <c r="A6" t="s">
        <v>123</v>
      </c>
      <c r="B6" s="32" t="s">
        <v>124</v>
      </c>
      <c r="C6" t="s">
        <v>56</v>
      </c>
      <c r="D6" s="36" t="s">
        <v>57</v>
      </c>
      <c r="E6" t="s">
        <v>116</v>
      </c>
      <c r="F6" t="s">
        <v>28</v>
      </c>
      <c r="G6">
        <v>1</v>
      </c>
      <c r="H6">
        <v>3500</v>
      </c>
      <c r="I6">
        <v>3000</v>
      </c>
      <c r="J6">
        <f>Table5[[#This Row],[Quantity]]*Table5[[#This Row],[Unit_Price]]</f>
        <v>3500</v>
      </c>
      <c r="K6">
        <f>Table5[[#This Row],[Quantity]]*Table5[[#This Row],[Cost_Price]]</f>
        <v>3000</v>
      </c>
      <c r="L6">
        <f>Table5[[#This Row],[Total Sales]]-Table5[[#This Row],[Cost_Price]]</f>
        <v>500</v>
      </c>
    </row>
    <row r="7" spans="1:12">
      <c r="A7" t="s">
        <v>125</v>
      </c>
      <c r="B7" s="32" t="s">
        <v>126</v>
      </c>
      <c r="C7" t="s">
        <v>58</v>
      </c>
      <c r="D7" s="36" t="s">
        <v>57</v>
      </c>
      <c r="E7" t="s">
        <v>114</v>
      </c>
      <c r="F7" t="s">
        <v>31</v>
      </c>
      <c r="G7">
        <v>2</v>
      </c>
      <c r="H7">
        <v>7000</v>
      </c>
      <c r="I7">
        <v>6500</v>
      </c>
      <c r="J7">
        <f>Table5[[#This Row],[Quantity]]*Table5[[#This Row],[Unit_Price]]</f>
        <v>14000</v>
      </c>
      <c r="K7">
        <f>Table5[[#This Row],[Quantity]]*Table5[[#This Row],[Cost_Price]]</f>
        <v>13000</v>
      </c>
      <c r="L7">
        <f>Table5[[#This Row],[Total Sales]]-Table5[[#This Row],[Cost_Price]]</f>
        <v>7500</v>
      </c>
    </row>
    <row r="8" spans="1:12">
      <c r="A8" t="s">
        <v>127</v>
      </c>
      <c r="B8" s="32" t="s">
        <v>128</v>
      </c>
      <c r="C8" t="s">
        <v>56</v>
      </c>
      <c r="D8" s="36" t="s">
        <v>57</v>
      </c>
      <c r="E8" t="s">
        <v>116</v>
      </c>
      <c r="F8" t="s">
        <v>25</v>
      </c>
      <c r="G8">
        <v>2</v>
      </c>
      <c r="H8">
        <v>3500</v>
      </c>
      <c r="I8">
        <v>3000</v>
      </c>
      <c r="J8">
        <f>Table5[[#This Row],[Quantity]]*Table5[[#This Row],[Unit_Price]]</f>
        <v>7000</v>
      </c>
      <c r="K8">
        <f>Table5[[#This Row],[Quantity]]*Table5[[#This Row],[Cost_Price]]</f>
        <v>6000</v>
      </c>
      <c r="L8">
        <f>Table5[[#This Row],[Total Sales]]-Table5[[#This Row],[Cost_Price]]</f>
        <v>4000</v>
      </c>
    </row>
    <row r="9" spans="1:12">
      <c r="A9" t="s">
        <v>129</v>
      </c>
      <c r="B9" s="32" t="s">
        <v>130</v>
      </c>
      <c r="C9" t="s">
        <v>58</v>
      </c>
      <c r="D9" s="36" t="s">
        <v>57</v>
      </c>
      <c r="E9" t="s">
        <v>115</v>
      </c>
      <c r="F9" t="s">
        <v>28</v>
      </c>
      <c r="G9">
        <v>1</v>
      </c>
      <c r="H9">
        <v>7000</v>
      </c>
      <c r="I9">
        <v>6500</v>
      </c>
      <c r="J9">
        <f>Table5[[#This Row],[Quantity]]*Table5[[#This Row],[Unit_Price]]</f>
        <v>7000</v>
      </c>
      <c r="K9">
        <f>Table5[[#This Row],[Quantity]]*Table5[[#This Row],[Cost_Price]]</f>
        <v>6500</v>
      </c>
      <c r="L9">
        <f>Table5[[#This Row],[Total Sales]]-Table5[[#This Row],[Cost_Price]]</f>
        <v>500</v>
      </c>
    </row>
    <row r="10" spans="1:12">
      <c r="A10" t="s">
        <v>131</v>
      </c>
      <c r="B10" s="32" t="s">
        <v>132</v>
      </c>
      <c r="C10" t="s">
        <v>56</v>
      </c>
      <c r="D10" s="36" t="s">
        <v>57</v>
      </c>
      <c r="E10" t="s">
        <v>114</v>
      </c>
      <c r="F10" t="s">
        <v>21</v>
      </c>
      <c r="G10">
        <v>1</v>
      </c>
      <c r="H10">
        <v>3500</v>
      </c>
      <c r="I10">
        <v>3000</v>
      </c>
      <c r="J10">
        <f>Table5[[#This Row],[Quantity]]*Table5[[#This Row],[Unit_Price]]</f>
        <v>3500</v>
      </c>
      <c r="K10">
        <f>Table5[[#This Row],[Quantity]]*Table5[[#This Row],[Cost_Price]]</f>
        <v>3000</v>
      </c>
      <c r="L10">
        <f>Table5[[#This Row],[Total Sales]]-Table5[[#This Row],[Cost_Price]]</f>
        <v>500</v>
      </c>
    </row>
    <row r="11" spans="1:12">
      <c r="A11" t="s">
        <v>133</v>
      </c>
      <c r="B11" s="32" t="s">
        <v>134</v>
      </c>
      <c r="C11" t="s">
        <v>58</v>
      </c>
      <c r="D11" s="36" t="s">
        <v>57</v>
      </c>
      <c r="E11" t="s">
        <v>116</v>
      </c>
      <c r="F11" t="s">
        <v>25</v>
      </c>
      <c r="G11">
        <v>2</v>
      </c>
      <c r="H11">
        <v>7000</v>
      </c>
      <c r="I11">
        <v>6500</v>
      </c>
      <c r="J11">
        <f>Table5[[#This Row],[Quantity]]*Table5[[#This Row],[Unit_Price]]</f>
        <v>14000</v>
      </c>
      <c r="K11">
        <f>Table5[[#This Row],[Quantity]]*Table5[[#This Row],[Cost_Price]]</f>
        <v>13000</v>
      </c>
      <c r="L11">
        <f>Table5[[#This Row],[Total Sales]]-Table5[[#This Row],[Cost_Price]]</f>
        <v>7500</v>
      </c>
    </row>
    <row r="12" spans="1:12">
      <c r="A12" t="s">
        <v>135</v>
      </c>
      <c r="B12" s="32" t="s">
        <v>136</v>
      </c>
      <c r="C12" t="s">
        <v>56</v>
      </c>
      <c r="D12" s="36" t="s">
        <v>57</v>
      </c>
      <c r="E12" t="s">
        <v>116</v>
      </c>
      <c r="F12" t="s">
        <v>34</v>
      </c>
      <c r="G12">
        <v>3</v>
      </c>
      <c r="H12">
        <v>3500</v>
      </c>
      <c r="I12">
        <v>3000</v>
      </c>
      <c r="J12">
        <f>Table5[[#This Row],[Quantity]]*Table5[[#This Row],[Unit_Price]]</f>
        <v>10500</v>
      </c>
      <c r="K12">
        <f>Table5[[#This Row],[Quantity]]*Table5[[#This Row],[Cost_Price]]</f>
        <v>9000</v>
      </c>
      <c r="L12">
        <f>Table5[[#This Row],[Total Sales]]-Table5[[#This Row],[Cost_Price]]</f>
        <v>7500</v>
      </c>
    </row>
    <row r="13" spans="1:12">
      <c r="A13" t="s">
        <v>137</v>
      </c>
      <c r="B13" s="32" t="s">
        <v>138</v>
      </c>
      <c r="C13" t="s">
        <v>58</v>
      </c>
      <c r="D13" s="36" t="s">
        <v>57</v>
      </c>
      <c r="E13" t="s">
        <v>114</v>
      </c>
      <c r="F13" t="s">
        <v>21</v>
      </c>
      <c r="G13">
        <v>1</v>
      </c>
      <c r="H13">
        <v>7000</v>
      </c>
      <c r="I13">
        <v>6500</v>
      </c>
      <c r="J13">
        <f>Table5[[#This Row],[Quantity]]*Table5[[#This Row],[Unit_Price]]</f>
        <v>7000</v>
      </c>
      <c r="K13">
        <f>Table5[[#This Row],[Quantity]]*Table5[[#This Row],[Cost_Price]]</f>
        <v>6500</v>
      </c>
      <c r="L13">
        <f>Table5[[#This Row],[Total Sales]]-Table5[[#This Row],[Cost_Price]]</f>
        <v>500</v>
      </c>
    </row>
    <row r="14" spans="1:12">
      <c r="A14" t="s">
        <v>139</v>
      </c>
      <c r="B14" s="32" t="s">
        <v>140</v>
      </c>
      <c r="C14" t="s">
        <v>56</v>
      </c>
      <c r="D14" s="36" t="s">
        <v>57</v>
      </c>
      <c r="E14" t="s">
        <v>116</v>
      </c>
      <c r="F14" t="s">
        <v>31</v>
      </c>
      <c r="G14">
        <v>1</v>
      </c>
      <c r="H14">
        <v>3500</v>
      </c>
      <c r="I14">
        <v>3000</v>
      </c>
      <c r="J14">
        <f>Table5[[#This Row],[Quantity]]*Table5[[#This Row],[Unit_Price]]</f>
        <v>3500</v>
      </c>
      <c r="K14">
        <f>Table5[[#This Row],[Quantity]]*Table5[[#This Row],[Cost_Price]]</f>
        <v>3000</v>
      </c>
      <c r="L14">
        <f>Table5[[#This Row],[Total Sales]]-Table5[[#This Row],[Cost_Price]]</f>
        <v>500</v>
      </c>
    </row>
    <row r="15" spans="1:12">
      <c r="A15" t="s">
        <v>141</v>
      </c>
      <c r="B15" s="32" t="s">
        <v>142</v>
      </c>
      <c r="C15" t="s">
        <v>58</v>
      </c>
      <c r="D15" s="36" t="s">
        <v>57</v>
      </c>
      <c r="E15" t="s">
        <v>114</v>
      </c>
      <c r="F15" t="s">
        <v>34</v>
      </c>
      <c r="G15">
        <v>1</v>
      </c>
      <c r="H15">
        <v>7000</v>
      </c>
      <c r="I15">
        <v>6500</v>
      </c>
      <c r="J15">
        <f>Table5[[#This Row],[Quantity]]*Table5[[#This Row],[Unit_Price]]</f>
        <v>7000</v>
      </c>
      <c r="K15">
        <f>Table5[[#This Row],[Quantity]]*Table5[[#This Row],[Cost_Price]]</f>
        <v>6500</v>
      </c>
      <c r="L15">
        <f>Table5[[#This Row],[Total Sales]]-Table5[[#This Row],[Cost_Price]]</f>
        <v>500</v>
      </c>
    </row>
    <row r="16" spans="1:12">
      <c r="A16" t="s">
        <v>143</v>
      </c>
      <c r="B16" s="32" t="s">
        <v>144</v>
      </c>
      <c r="C16" t="s">
        <v>56</v>
      </c>
      <c r="D16" s="36" t="s">
        <v>57</v>
      </c>
      <c r="E16" t="s">
        <v>116</v>
      </c>
      <c r="F16" t="s">
        <v>21</v>
      </c>
      <c r="G16">
        <v>2</v>
      </c>
      <c r="H16">
        <v>3500</v>
      </c>
      <c r="I16">
        <v>3000</v>
      </c>
      <c r="J16">
        <f>Table5[[#This Row],[Quantity]]*Table5[[#This Row],[Unit_Price]]</f>
        <v>7000</v>
      </c>
      <c r="K16">
        <f>Table5[[#This Row],[Quantity]]*Table5[[#This Row],[Cost_Price]]</f>
        <v>6000</v>
      </c>
      <c r="L16">
        <f>Table5[[#This Row],[Total Sales]]-Table5[[#This Row],[Cost_Price]]</f>
        <v>4000</v>
      </c>
    </row>
    <row r="17" spans="1:12">
      <c r="A17" t="s">
        <v>145</v>
      </c>
      <c r="B17" s="32" t="s">
        <v>146</v>
      </c>
      <c r="C17" t="s">
        <v>58</v>
      </c>
      <c r="D17" s="36" t="s">
        <v>57</v>
      </c>
      <c r="E17" t="s">
        <v>115</v>
      </c>
      <c r="F17" t="s">
        <v>31</v>
      </c>
      <c r="G17">
        <v>1</v>
      </c>
      <c r="H17">
        <v>7000</v>
      </c>
      <c r="I17">
        <v>6500</v>
      </c>
      <c r="J17">
        <f>Table5[[#This Row],[Quantity]]*Table5[[#This Row],[Unit_Price]]</f>
        <v>7000</v>
      </c>
      <c r="K17">
        <f>Table5[[#This Row],[Quantity]]*Table5[[#This Row],[Cost_Price]]</f>
        <v>6500</v>
      </c>
      <c r="L17">
        <f>Table5[[#This Row],[Total Sales]]-Table5[[#This Row],[Cost_Price]]</f>
        <v>500</v>
      </c>
    </row>
    <row r="18" spans="1:12">
      <c r="A18" t="s">
        <v>147</v>
      </c>
      <c r="B18" s="32" t="s">
        <v>148</v>
      </c>
      <c r="C18" t="s">
        <v>56</v>
      </c>
      <c r="D18" s="36" t="s">
        <v>57</v>
      </c>
      <c r="E18" t="s">
        <v>114</v>
      </c>
      <c r="F18" t="s">
        <v>25</v>
      </c>
      <c r="G18">
        <v>1</v>
      </c>
      <c r="H18">
        <v>3500</v>
      </c>
      <c r="I18">
        <v>3000</v>
      </c>
      <c r="J18">
        <f>Table5[[#This Row],[Quantity]]*Table5[[#This Row],[Unit_Price]]</f>
        <v>3500</v>
      </c>
      <c r="K18">
        <f>Table5[[#This Row],[Quantity]]*Table5[[#This Row],[Cost_Price]]</f>
        <v>3000</v>
      </c>
      <c r="L18">
        <f>Table5[[#This Row],[Total Sales]]-Table5[[#This Row],[Cost_Price]]</f>
        <v>500</v>
      </c>
    </row>
    <row r="19" spans="1:12">
      <c r="A19" t="s">
        <v>149</v>
      </c>
      <c r="B19" s="32" t="s">
        <v>150</v>
      </c>
      <c r="C19" t="s">
        <v>58</v>
      </c>
      <c r="D19" s="36" t="s">
        <v>57</v>
      </c>
      <c r="E19" t="s">
        <v>116</v>
      </c>
      <c r="F19" t="s">
        <v>21</v>
      </c>
      <c r="G19">
        <v>2</v>
      </c>
      <c r="H19">
        <v>7000</v>
      </c>
      <c r="I19">
        <v>6500</v>
      </c>
      <c r="J19">
        <f>Table5[[#This Row],[Quantity]]*Table5[[#This Row],[Unit_Price]]</f>
        <v>14000</v>
      </c>
      <c r="K19">
        <f>Table5[[#This Row],[Quantity]]*Table5[[#This Row],[Cost_Price]]</f>
        <v>13000</v>
      </c>
      <c r="L19">
        <f>Table5[[#This Row],[Total Sales]]-Table5[[#This Row],[Cost_Price]]</f>
        <v>7500</v>
      </c>
    </row>
    <row r="20" spans="1:12">
      <c r="A20" t="s">
        <v>151</v>
      </c>
      <c r="B20" s="32" t="s">
        <v>152</v>
      </c>
      <c r="C20" t="s">
        <v>56</v>
      </c>
      <c r="D20" s="36" t="s">
        <v>57</v>
      </c>
      <c r="E20" t="s">
        <v>116</v>
      </c>
      <c r="F20" t="s">
        <v>28</v>
      </c>
      <c r="G20">
        <v>2</v>
      </c>
      <c r="H20">
        <v>3500</v>
      </c>
      <c r="I20">
        <v>3000</v>
      </c>
      <c r="J20">
        <f>Table5[[#This Row],[Quantity]]*Table5[[#This Row],[Unit_Price]]</f>
        <v>7000</v>
      </c>
      <c r="K20">
        <f>Table5[[#This Row],[Quantity]]*Table5[[#This Row],[Cost_Price]]</f>
        <v>6000</v>
      </c>
      <c r="L20">
        <f>Table5[[#This Row],[Total Sales]]-Table5[[#This Row],[Cost_Price]]</f>
        <v>4000</v>
      </c>
    </row>
    <row r="21" spans="1:12">
      <c r="A21" t="s">
        <v>153</v>
      </c>
      <c r="B21" s="32" t="s">
        <v>154</v>
      </c>
      <c r="C21" t="s">
        <v>58</v>
      </c>
      <c r="D21" s="36" t="s">
        <v>57</v>
      </c>
      <c r="E21" t="s">
        <v>115</v>
      </c>
      <c r="F21" t="s">
        <v>25</v>
      </c>
      <c r="G21">
        <v>1</v>
      </c>
      <c r="H21">
        <v>7000</v>
      </c>
      <c r="I21">
        <v>6500</v>
      </c>
      <c r="J21">
        <f>Table5[[#This Row],[Quantity]]*Table5[[#This Row],[Unit_Price]]</f>
        <v>7000</v>
      </c>
      <c r="K21">
        <f>Table5[[#This Row],[Quantity]]*Table5[[#This Row],[Cost_Price]]</f>
        <v>6500</v>
      </c>
      <c r="L21">
        <f>Table5[[#This Row],[Total Sales]]-Table5[[#This Row],[Cost_Price]]</f>
        <v>500</v>
      </c>
    </row>
    <row r="22" spans="1:12">
      <c r="A22" t="s">
        <v>155</v>
      </c>
      <c r="B22" s="32" t="s">
        <v>156</v>
      </c>
      <c r="C22" t="s">
        <v>56</v>
      </c>
      <c r="D22" s="36" t="s">
        <v>57</v>
      </c>
      <c r="E22" t="s">
        <v>114</v>
      </c>
      <c r="F22" t="s">
        <v>31</v>
      </c>
      <c r="G22">
        <v>1</v>
      </c>
      <c r="H22">
        <v>3500</v>
      </c>
      <c r="I22">
        <v>3000</v>
      </c>
      <c r="J22">
        <f>Table5[[#This Row],[Quantity]]*Table5[[#This Row],[Unit_Price]]</f>
        <v>3500</v>
      </c>
      <c r="K22">
        <f>Table5[[#This Row],[Quantity]]*Table5[[#This Row],[Cost_Price]]</f>
        <v>3000</v>
      </c>
      <c r="L22">
        <f>Table5[[#This Row],[Total Sales]]-Table5[[#This Row],[Cost_Price]]</f>
        <v>500</v>
      </c>
    </row>
    <row r="23" spans="1:12">
      <c r="A23" t="s">
        <v>157</v>
      </c>
      <c r="B23" s="32" t="s">
        <v>158</v>
      </c>
      <c r="C23" t="s">
        <v>58</v>
      </c>
      <c r="D23" s="36" t="s">
        <v>57</v>
      </c>
      <c r="E23" t="s">
        <v>116</v>
      </c>
      <c r="F23" t="s">
        <v>28</v>
      </c>
      <c r="G23">
        <v>1</v>
      </c>
      <c r="H23">
        <v>7000</v>
      </c>
      <c r="I23">
        <v>6500</v>
      </c>
      <c r="J23">
        <f>Table5[[#This Row],[Quantity]]*Table5[[#This Row],[Unit_Price]]</f>
        <v>7000</v>
      </c>
      <c r="K23">
        <f>Table5[[#This Row],[Quantity]]*Table5[[#This Row],[Cost_Price]]</f>
        <v>6500</v>
      </c>
      <c r="L23">
        <f>Table5[[#This Row],[Total Sales]]-Table5[[#This Row],[Cost_Price]]</f>
        <v>500</v>
      </c>
    </row>
    <row r="24" spans="1:12">
      <c r="A24" t="s">
        <v>20</v>
      </c>
      <c r="B24" s="32">
        <v>45292</v>
      </c>
      <c r="C24" t="s">
        <v>53</v>
      </c>
      <c r="D24" s="37" t="s">
        <v>54</v>
      </c>
      <c r="E24" t="s">
        <v>114</v>
      </c>
      <c r="F24" t="s">
        <v>21</v>
      </c>
      <c r="G24">
        <v>2</v>
      </c>
      <c r="H24">
        <v>500</v>
      </c>
      <c r="I24">
        <v>400</v>
      </c>
      <c r="J24">
        <f>Table5[[#This Row],[Quantity]]*Table5[[#This Row],[Unit_Price]]</f>
        <v>1000</v>
      </c>
      <c r="K24">
        <f>Table5[[#This Row],[Quantity]]*Table5[[#This Row],[Cost_Price]]</f>
        <v>800</v>
      </c>
      <c r="L24">
        <f>Table5[[#This Row],[Total Sales]]-Table5[[#This Row],[Cost_Price]]</f>
        <v>600</v>
      </c>
    </row>
    <row r="25" spans="1:12">
      <c r="A25" t="s">
        <v>23</v>
      </c>
      <c r="B25" s="32">
        <v>45323</v>
      </c>
      <c r="C25" t="s">
        <v>55</v>
      </c>
      <c r="D25" s="37" t="s">
        <v>54</v>
      </c>
      <c r="E25" t="s">
        <v>115</v>
      </c>
      <c r="F25" t="s">
        <v>25</v>
      </c>
      <c r="G25">
        <v>1</v>
      </c>
      <c r="H25">
        <v>1200</v>
      </c>
      <c r="I25">
        <v>900</v>
      </c>
      <c r="J25">
        <f>Table5[[#This Row],[Quantity]]*Table5[[#This Row],[Unit_Price]]</f>
        <v>1200</v>
      </c>
      <c r="K25">
        <f>Table5[[#This Row],[Quantity]]*Table5[[#This Row],[Cost_Price]]</f>
        <v>900</v>
      </c>
      <c r="L25">
        <f>Table5[[#This Row],[Total Sales]]-Table5[[#This Row],[Cost_Price]]</f>
        <v>300</v>
      </c>
    </row>
    <row r="26" spans="1:12">
      <c r="A26" t="s">
        <v>33</v>
      </c>
      <c r="B26" s="32" t="s">
        <v>159</v>
      </c>
      <c r="C26" t="s">
        <v>53</v>
      </c>
      <c r="D26" s="37" t="s">
        <v>54</v>
      </c>
      <c r="E26" t="s">
        <v>115</v>
      </c>
      <c r="F26" t="s">
        <v>34</v>
      </c>
      <c r="G26">
        <v>4</v>
      </c>
      <c r="H26">
        <v>500</v>
      </c>
      <c r="I26">
        <v>400</v>
      </c>
      <c r="J26">
        <f>Table5[[#This Row],[Quantity]]*Table5[[#This Row],[Unit_Price]]</f>
        <v>2000</v>
      </c>
      <c r="K26">
        <f>Table5[[#This Row],[Quantity]]*Table5[[#This Row],[Cost_Price]]</f>
        <v>1600</v>
      </c>
      <c r="L26">
        <f>Table5[[#This Row],[Total Sales]]-Table5[[#This Row],[Cost_Price]]</f>
        <v>1600</v>
      </c>
    </row>
    <row r="27" spans="1:12">
      <c r="A27" t="s">
        <v>35</v>
      </c>
      <c r="B27" s="32" t="s">
        <v>160</v>
      </c>
      <c r="C27" t="s">
        <v>55</v>
      </c>
      <c r="D27" s="37" t="s">
        <v>54</v>
      </c>
      <c r="E27" t="s">
        <v>114</v>
      </c>
      <c r="F27" t="s">
        <v>21</v>
      </c>
      <c r="G27">
        <v>2</v>
      </c>
      <c r="H27">
        <v>1200</v>
      </c>
      <c r="I27">
        <v>900</v>
      </c>
      <c r="J27">
        <f>Table5[[#This Row],[Quantity]]*Table5[[#This Row],[Unit_Price]]</f>
        <v>2400</v>
      </c>
      <c r="K27">
        <f>Table5[[#This Row],[Quantity]]*Table5[[#This Row],[Cost_Price]]</f>
        <v>1800</v>
      </c>
      <c r="L27">
        <f>Table5[[#This Row],[Total Sales]]-Table5[[#This Row],[Cost_Price]]</f>
        <v>1500</v>
      </c>
    </row>
    <row r="28" spans="1:12">
      <c r="A28" t="s">
        <v>161</v>
      </c>
      <c r="B28" s="32">
        <v>45416</v>
      </c>
      <c r="C28" t="s">
        <v>53</v>
      </c>
      <c r="D28" s="37" t="s">
        <v>54</v>
      </c>
      <c r="E28" t="s">
        <v>114</v>
      </c>
      <c r="F28" t="s">
        <v>21</v>
      </c>
      <c r="G28">
        <v>3</v>
      </c>
      <c r="H28">
        <v>500</v>
      </c>
      <c r="I28">
        <v>400</v>
      </c>
      <c r="J28">
        <f>Table5[[#This Row],[Quantity]]*Table5[[#This Row],[Unit_Price]]</f>
        <v>1500</v>
      </c>
      <c r="K28">
        <f>Table5[[#This Row],[Quantity]]*Table5[[#This Row],[Cost_Price]]</f>
        <v>1200</v>
      </c>
      <c r="L28">
        <f>Table5[[#This Row],[Total Sales]]-Table5[[#This Row],[Cost_Price]]</f>
        <v>1100</v>
      </c>
    </row>
    <row r="29" spans="1:12">
      <c r="A29" t="s">
        <v>162</v>
      </c>
      <c r="B29" s="32">
        <v>45569</v>
      </c>
      <c r="C29" t="s">
        <v>55</v>
      </c>
      <c r="D29" s="37" t="s">
        <v>54</v>
      </c>
      <c r="E29" t="s">
        <v>115</v>
      </c>
      <c r="F29" t="s">
        <v>25</v>
      </c>
      <c r="G29">
        <v>2</v>
      </c>
      <c r="H29">
        <v>1200</v>
      </c>
      <c r="I29">
        <v>900</v>
      </c>
      <c r="J29">
        <f>Table5[[#This Row],[Quantity]]*Table5[[#This Row],[Unit_Price]]</f>
        <v>2400</v>
      </c>
      <c r="K29">
        <f>Table5[[#This Row],[Quantity]]*Table5[[#This Row],[Cost_Price]]</f>
        <v>1800</v>
      </c>
      <c r="L29">
        <f>Table5[[#This Row],[Total Sales]]-Table5[[#This Row],[Cost_Price]]</f>
        <v>1500</v>
      </c>
    </row>
    <row r="30" spans="1:12">
      <c r="A30" t="s">
        <v>163</v>
      </c>
      <c r="B30" s="32">
        <v>45327</v>
      </c>
      <c r="C30" t="s">
        <v>53</v>
      </c>
      <c r="D30" s="37" t="s">
        <v>54</v>
      </c>
      <c r="E30" t="s">
        <v>115</v>
      </c>
      <c r="F30" t="s">
        <v>34</v>
      </c>
      <c r="G30">
        <v>5</v>
      </c>
      <c r="H30">
        <v>500</v>
      </c>
      <c r="I30">
        <v>400</v>
      </c>
      <c r="J30">
        <f>Table5[[#This Row],[Quantity]]*Table5[[#This Row],[Unit_Price]]</f>
        <v>2500</v>
      </c>
      <c r="K30">
        <f>Table5[[#This Row],[Quantity]]*Table5[[#This Row],[Cost_Price]]</f>
        <v>2000</v>
      </c>
      <c r="L30">
        <f>Table5[[#This Row],[Total Sales]]-Table5[[#This Row],[Cost_Price]]</f>
        <v>2100</v>
      </c>
    </row>
    <row r="31" spans="1:12">
      <c r="A31" t="s">
        <v>164</v>
      </c>
      <c r="B31" s="32">
        <v>45540</v>
      </c>
      <c r="C31" t="s">
        <v>55</v>
      </c>
      <c r="D31" s="37" t="s">
        <v>54</v>
      </c>
      <c r="E31" t="s">
        <v>114</v>
      </c>
      <c r="F31" t="s">
        <v>21</v>
      </c>
      <c r="G31">
        <v>1</v>
      </c>
      <c r="H31">
        <v>1200</v>
      </c>
      <c r="I31">
        <v>900</v>
      </c>
      <c r="J31">
        <f>Table5[[#This Row],[Quantity]]*Table5[[#This Row],[Unit_Price]]</f>
        <v>1200</v>
      </c>
      <c r="K31">
        <f>Table5[[#This Row],[Quantity]]*Table5[[#This Row],[Cost_Price]]</f>
        <v>900</v>
      </c>
      <c r="L31">
        <f>Table5[[#This Row],[Total Sales]]-Table5[[#This Row],[Cost_Price]]</f>
        <v>300</v>
      </c>
    </row>
    <row r="32" spans="1:12">
      <c r="A32" t="s">
        <v>165</v>
      </c>
      <c r="B32" s="32">
        <v>45357</v>
      </c>
      <c r="C32" t="s">
        <v>53</v>
      </c>
      <c r="D32" s="37" t="s">
        <v>54</v>
      </c>
      <c r="E32" t="s">
        <v>114</v>
      </c>
      <c r="F32" t="s">
        <v>31</v>
      </c>
      <c r="G32">
        <v>4</v>
      </c>
      <c r="H32">
        <v>500</v>
      </c>
      <c r="I32">
        <v>400</v>
      </c>
      <c r="J32">
        <f>Table5[[#This Row],[Quantity]]*Table5[[#This Row],[Unit_Price]]</f>
        <v>2000</v>
      </c>
      <c r="K32">
        <f>Table5[[#This Row],[Quantity]]*Table5[[#This Row],[Cost_Price]]</f>
        <v>1600</v>
      </c>
      <c r="L32">
        <f>Table5[[#This Row],[Total Sales]]-Table5[[#This Row],[Cost_Price]]</f>
        <v>1600</v>
      </c>
    </row>
    <row r="33" spans="1:12">
      <c r="A33" t="s">
        <v>166</v>
      </c>
      <c r="B33" s="32">
        <v>45602</v>
      </c>
      <c r="C33" t="s">
        <v>55</v>
      </c>
      <c r="D33" s="37" t="s">
        <v>54</v>
      </c>
      <c r="E33" t="s">
        <v>115</v>
      </c>
      <c r="F33" t="s">
        <v>34</v>
      </c>
      <c r="G33">
        <v>3</v>
      </c>
      <c r="H33">
        <v>1200</v>
      </c>
      <c r="I33">
        <v>900</v>
      </c>
      <c r="J33">
        <f>Table5[[#This Row],[Quantity]]*Table5[[#This Row],[Unit_Price]]</f>
        <v>3600</v>
      </c>
      <c r="K33">
        <f>Table5[[#This Row],[Quantity]]*Table5[[#This Row],[Cost_Price]]</f>
        <v>2700</v>
      </c>
      <c r="L33">
        <f>Table5[[#This Row],[Total Sales]]-Table5[[#This Row],[Cost_Price]]</f>
        <v>2700</v>
      </c>
    </row>
    <row r="34" spans="1:12">
      <c r="A34" t="s">
        <v>167</v>
      </c>
      <c r="B34" s="32">
        <v>45389</v>
      </c>
      <c r="C34" t="s">
        <v>53</v>
      </c>
      <c r="D34" s="37" t="s">
        <v>54</v>
      </c>
      <c r="E34" t="s">
        <v>115</v>
      </c>
      <c r="F34" t="s">
        <v>28</v>
      </c>
      <c r="G34">
        <v>2</v>
      </c>
      <c r="H34">
        <v>500</v>
      </c>
      <c r="I34">
        <v>400</v>
      </c>
      <c r="J34">
        <f>Table5[[#This Row],[Quantity]]*Table5[[#This Row],[Unit_Price]]</f>
        <v>1000</v>
      </c>
      <c r="K34">
        <f>Table5[[#This Row],[Quantity]]*Table5[[#This Row],[Cost_Price]]</f>
        <v>800</v>
      </c>
      <c r="L34">
        <f>Table5[[#This Row],[Total Sales]]-Table5[[#This Row],[Cost_Price]]</f>
        <v>600</v>
      </c>
    </row>
    <row r="35" spans="1:12">
      <c r="A35" t="s">
        <v>168</v>
      </c>
      <c r="B35" s="32">
        <v>45633</v>
      </c>
      <c r="C35" t="s">
        <v>55</v>
      </c>
      <c r="D35" s="37" t="s">
        <v>54</v>
      </c>
      <c r="E35" t="s">
        <v>114</v>
      </c>
      <c r="F35" t="s">
        <v>31</v>
      </c>
      <c r="G35">
        <v>2</v>
      </c>
      <c r="H35">
        <v>1200</v>
      </c>
      <c r="I35">
        <v>900</v>
      </c>
      <c r="J35">
        <f>Table5[[#This Row],[Quantity]]*Table5[[#This Row],[Unit_Price]]</f>
        <v>2400</v>
      </c>
      <c r="K35">
        <f>Table5[[#This Row],[Quantity]]*Table5[[#This Row],[Cost_Price]]</f>
        <v>1800</v>
      </c>
      <c r="L35">
        <f>Table5[[#This Row],[Total Sales]]-Table5[[#This Row],[Cost_Price]]</f>
        <v>1500</v>
      </c>
    </row>
    <row r="36" spans="1:12">
      <c r="A36" t="s">
        <v>169</v>
      </c>
      <c r="B36" s="32">
        <v>45420</v>
      </c>
      <c r="C36" t="s">
        <v>53</v>
      </c>
      <c r="D36" s="37" t="s">
        <v>54</v>
      </c>
      <c r="E36" t="s">
        <v>114</v>
      </c>
      <c r="F36" t="s">
        <v>25</v>
      </c>
      <c r="G36">
        <v>6</v>
      </c>
      <c r="H36">
        <v>500</v>
      </c>
      <c r="I36">
        <v>400</v>
      </c>
      <c r="J36">
        <f>Table5[[#This Row],[Quantity]]*Table5[[#This Row],[Unit_Price]]</f>
        <v>3000</v>
      </c>
      <c r="K36">
        <f>Table5[[#This Row],[Quantity]]*Table5[[#This Row],[Cost_Price]]</f>
        <v>2400</v>
      </c>
      <c r="L36">
        <f>Table5[[#This Row],[Total Sales]]-Table5[[#This Row],[Cost_Price]]</f>
        <v>2600</v>
      </c>
    </row>
    <row r="37" spans="1:12">
      <c r="A37" t="s">
        <v>170</v>
      </c>
      <c r="B37" s="32" t="s">
        <v>171</v>
      </c>
      <c r="C37" t="s">
        <v>55</v>
      </c>
      <c r="D37" s="37" t="s">
        <v>54</v>
      </c>
      <c r="E37" t="s">
        <v>115</v>
      </c>
      <c r="F37" t="s">
        <v>21</v>
      </c>
      <c r="G37">
        <v>2</v>
      </c>
      <c r="H37">
        <v>1200</v>
      </c>
      <c r="I37">
        <v>900</v>
      </c>
      <c r="J37">
        <f>Table5[[#This Row],[Quantity]]*Table5[[#This Row],[Unit_Price]]</f>
        <v>2400</v>
      </c>
      <c r="K37">
        <f>Table5[[#This Row],[Quantity]]*Table5[[#This Row],[Cost_Price]]</f>
        <v>1800</v>
      </c>
      <c r="L37">
        <f>Table5[[#This Row],[Total Sales]]-Table5[[#This Row],[Cost_Price]]</f>
        <v>1500</v>
      </c>
    </row>
    <row r="38" spans="1:12">
      <c r="A38" t="s">
        <v>172</v>
      </c>
      <c r="B38" s="32">
        <v>45360</v>
      </c>
      <c r="C38" t="s">
        <v>53</v>
      </c>
      <c r="D38" s="37" t="s">
        <v>54</v>
      </c>
      <c r="E38" t="s">
        <v>115</v>
      </c>
      <c r="F38" t="s">
        <v>28</v>
      </c>
      <c r="G38">
        <v>4</v>
      </c>
      <c r="H38">
        <v>500</v>
      </c>
      <c r="I38">
        <v>400</v>
      </c>
      <c r="J38">
        <f>Table5[[#This Row],[Quantity]]*Table5[[#This Row],[Unit_Price]]</f>
        <v>2000</v>
      </c>
      <c r="K38">
        <f>Table5[[#This Row],[Quantity]]*Table5[[#This Row],[Cost_Price]]</f>
        <v>1600</v>
      </c>
      <c r="L38">
        <f>Table5[[#This Row],[Total Sales]]-Table5[[#This Row],[Cost_Price]]</f>
        <v>1600</v>
      </c>
    </row>
    <row r="39" spans="1:12">
      <c r="A39" t="s">
        <v>173</v>
      </c>
      <c r="B39" s="32">
        <v>45605</v>
      </c>
      <c r="C39" t="s">
        <v>55</v>
      </c>
      <c r="D39" s="37" t="s">
        <v>54</v>
      </c>
      <c r="E39" t="s">
        <v>114</v>
      </c>
      <c r="F39" t="s">
        <v>25</v>
      </c>
      <c r="G39">
        <v>3</v>
      </c>
      <c r="H39">
        <v>1200</v>
      </c>
      <c r="I39">
        <v>900</v>
      </c>
      <c r="J39">
        <f>Table5[[#This Row],[Quantity]]*Table5[[#This Row],[Unit_Price]]</f>
        <v>3600</v>
      </c>
      <c r="K39">
        <f>Table5[[#This Row],[Quantity]]*Table5[[#This Row],[Cost_Price]]</f>
        <v>2700</v>
      </c>
      <c r="L39">
        <f>Table5[[#This Row],[Total Sales]]-Table5[[#This Row],[Cost_Price]]</f>
        <v>2700</v>
      </c>
    </row>
    <row r="40" spans="1:12">
      <c r="A40" t="s">
        <v>174</v>
      </c>
      <c r="B40" s="32">
        <v>45332</v>
      </c>
      <c r="C40" t="s">
        <v>53</v>
      </c>
      <c r="D40" s="37" t="s">
        <v>54</v>
      </c>
      <c r="E40" t="s">
        <v>114</v>
      </c>
      <c r="F40" t="s">
        <v>34</v>
      </c>
      <c r="G40">
        <v>5</v>
      </c>
      <c r="H40">
        <v>500</v>
      </c>
      <c r="I40">
        <v>400</v>
      </c>
      <c r="J40">
        <f>Table5[[#This Row],[Quantity]]*Table5[[#This Row],[Unit_Price]]</f>
        <v>2500</v>
      </c>
      <c r="K40">
        <f>Table5[[#This Row],[Quantity]]*Table5[[#This Row],[Cost_Price]]</f>
        <v>2000</v>
      </c>
      <c r="L40">
        <f>Table5[[#This Row],[Total Sales]]-Table5[[#This Row],[Cost_Price]]</f>
        <v>2100</v>
      </c>
    </row>
    <row r="41" spans="1:12">
      <c r="A41" t="s">
        <v>175</v>
      </c>
      <c r="B41" s="32">
        <v>45575</v>
      </c>
      <c r="C41" t="s">
        <v>55</v>
      </c>
      <c r="D41" s="37" t="s">
        <v>54</v>
      </c>
      <c r="E41" t="s">
        <v>115</v>
      </c>
      <c r="F41" t="s">
        <v>28</v>
      </c>
      <c r="G41">
        <v>2</v>
      </c>
      <c r="H41">
        <v>1200</v>
      </c>
      <c r="I41">
        <v>900</v>
      </c>
      <c r="J41">
        <f>Table5[[#This Row],[Quantity]]*Table5[[#This Row],[Unit_Price]]</f>
        <v>2400</v>
      </c>
      <c r="K41">
        <f>Table5[[#This Row],[Quantity]]*Table5[[#This Row],[Cost_Price]]</f>
        <v>1800</v>
      </c>
      <c r="L41">
        <f>Table5[[#This Row],[Total Sales]]-Table5[[#This Row],[Cost_Price]]</f>
        <v>1500</v>
      </c>
    </row>
    <row r="42" spans="1:12">
      <c r="A42" t="s">
        <v>176</v>
      </c>
      <c r="B42" s="32">
        <v>45423</v>
      </c>
      <c r="C42" t="s">
        <v>53</v>
      </c>
      <c r="D42" s="37" t="s">
        <v>54</v>
      </c>
      <c r="E42" t="s">
        <v>115</v>
      </c>
      <c r="F42" t="s">
        <v>31</v>
      </c>
      <c r="G42">
        <v>3</v>
      </c>
      <c r="H42">
        <v>500</v>
      </c>
      <c r="I42">
        <v>400</v>
      </c>
      <c r="J42">
        <f>Table5[[#This Row],[Quantity]]*Table5[[#This Row],[Unit_Price]]</f>
        <v>1500</v>
      </c>
      <c r="K42">
        <f>Table5[[#This Row],[Quantity]]*Table5[[#This Row],[Cost_Price]]</f>
        <v>1200</v>
      </c>
      <c r="L42">
        <f>Table5[[#This Row],[Total Sales]]-Table5[[#This Row],[Cost_Price]]</f>
        <v>1100</v>
      </c>
    </row>
    <row r="43" spans="1:12">
      <c r="A43" t="s">
        <v>177</v>
      </c>
      <c r="B43" s="32">
        <v>45637</v>
      </c>
      <c r="C43" t="s">
        <v>55</v>
      </c>
      <c r="D43" s="37" t="s">
        <v>54</v>
      </c>
      <c r="E43" t="s">
        <v>114</v>
      </c>
      <c r="F43" t="s">
        <v>34</v>
      </c>
      <c r="G43">
        <v>4</v>
      </c>
      <c r="H43">
        <v>1200</v>
      </c>
      <c r="I43">
        <v>900</v>
      </c>
      <c r="J43">
        <f>Table5[[#This Row],[Quantity]]*Table5[[#This Row],[Unit_Price]]</f>
        <v>4800</v>
      </c>
      <c r="K43">
        <f>Table5[[#This Row],[Quantity]]*Table5[[#This Row],[Cost_Price]]</f>
        <v>3600</v>
      </c>
      <c r="L43">
        <f>Table5[[#This Row],[Total Sales]]-Table5[[#This Row],[Cost_Price]]</f>
        <v>3900</v>
      </c>
    </row>
    <row r="44" spans="1:12">
      <c r="A44" t="s">
        <v>178</v>
      </c>
      <c r="B44" s="32">
        <v>45394</v>
      </c>
      <c r="C44" t="s">
        <v>53</v>
      </c>
      <c r="D44" s="37" t="s">
        <v>54</v>
      </c>
      <c r="E44" t="s">
        <v>114</v>
      </c>
      <c r="F44" t="s">
        <v>21</v>
      </c>
      <c r="G44">
        <v>7</v>
      </c>
      <c r="H44">
        <v>500</v>
      </c>
      <c r="I44">
        <v>400</v>
      </c>
      <c r="J44">
        <f>Table5[[#This Row],[Quantity]]*Table5[[#This Row],[Unit_Price]]</f>
        <v>3500</v>
      </c>
      <c r="K44">
        <f>Table5[[#This Row],[Quantity]]*Table5[[#This Row],[Cost_Price]]</f>
        <v>2800</v>
      </c>
      <c r="L44">
        <f>Table5[[#This Row],[Total Sales]]-Table5[[#This Row],[Cost_Price]]</f>
        <v>3100</v>
      </c>
    </row>
    <row r="45" spans="1:12">
      <c r="A45" t="s">
        <v>179</v>
      </c>
      <c r="B45" s="32">
        <v>45608</v>
      </c>
      <c r="C45" t="s">
        <v>55</v>
      </c>
      <c r="D45" s="37" t="s">
        <v>54</v>
      </c>
      <c r="E45" t="s">
        <v>115</v>
      </c>
      <c r="F45" t="s">
        <v>34</v>
      </c>
      <c r="G45">
        <v>2</v>
      </c>
      <c r="H45">
        <v>1200</v>
      </c>
      <c r="I45">
        <v>900</v>
      </c>
      <c r="J45">
        <f>Table5[[#This Row],[Quantity]]*Table5[[#This Row],[Unit_Price]]</f>
        <v>2400</v>
      </c>
      <c r="K45">
        <f>Table5[[#This Row],[Quantity]]*Table5[[#This Row],[Cost_Price]]</f>
        <v>1800</v>
      </c>
      <c r="L45">
        <f>Table5[[#This Row],[Total Sales]]-Table5[[#This Row],[Cost_Price]]</f>
        <v>1500</v>
      </c>
    </row>
    <row r="46" spans="1:12">
      <c r="B46" s="32"/>
      <c r="J46" s="11">
        <f>SUM(J2:J45)</f>
        <v>215800</v>
      </c>
      <c r="K46" s="11"/>
      <c r="L46" s="11">
        <f>SUM(L2:L45)</f>
        <v>97000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71D2-093C-4092-B755-FC956AE89272}">
  <dimension ref="A1:AB86"/>
  <sheetViews>
    <sheetView tabSelected="1" workbookViewId="0">
      <selection activeCell="U17" sqref="U17"/>
    </sheetView>
  </sheetViews>
  <sheetFormatPr defaultRowHeight="15"/>
  <cols>
    <col min="1" max="1" width="12.28515625" bestFit="1" customWidth="1"/>
    <col min="2" max="2" width="16.7109375" bestFit="1" customWidth="1"/>
    <col min="3" max="3" width="12.5703125" bestFit="1" customWidth="1"/>
    <col min="13" max="13" width="14.7109375" bestFit="1" customWidth="1"/>
    <col min="14" max="14" width="17" customWidth="1"/>
  </cols>
  <sheetData>
    <row r="1" spans="1:28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33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30" t="s">
        <v>15</v>
      </c>
      <c r="B6" t="s">
        <v>180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117</v>
      </c>
      <c r="U7" s="5" t="s">
        <v>181</v>
      </c>
      <c r="V7" s="5"/>
      <c r="W7" s="5"/>
      <c r="X7" s="5"/>
      <c r="Y7" s="5"/>
      <c r="Z7" s="5"/>
      <c r="AA7" s="5"/>
      <c r="AB7" s="5"/>
    </row>
    <row r="8" spans="1:28">
      <c r="A8" s="30" t="s">
        <v>18</v>
      </c>
      <c r="B8" t="s">
        <v>181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 t="s">
        <v>53</v>
      </c>
      <c r="U8" s="38">
        <v>22500</v>
      </c>
      <c r="V8" s="5"/>
      <c r="W8" s="5"/>
      <c r="X8" s="5"/>
      <c r="Y8" s="5"/>
      <c r="Z8" s="5"/>
      <c r="AA8" s="5"/>
      <c r="AB8" s="5"/>
    </row>
    <row r="9" spans="1:28">
      <c r="A9" t="s">
        <v>114</v>
      </c>
      <c r="B9" s="11">
        <v>39400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 t="s">
        <v>55</v>
      </c>
      <c r="U9" s="38">
        <v>28800</v>
      </c>
      <c r="V9" s="5"/>
      <c r="W9" s="5"/>
      <c r="X9" s="5"/>
      <c r="Y9" s="5"/>
      <c r="Z9" s="5"/>
      <c r="AA9" s="5"/>
      <c r="AB9" s="5"/>
    </row>
    <row r="10" spans="1:28">
      <c r="A10" t="s">
        <v>116</v>
      </c>
      <c r="B10" s="11">
        <v>28000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 t="s">
        <v>58</v>
      </c>
      <c r="U10" s="38">
        <v>98000</v>
      </c>
      <c r="V10" s="5"/>
      <c r="W10" s="5"/>
      <c r="X10" s="5"/>
      <c r="Y10" s="5"/>
      <c r="Z10" s="5"/>
      <c r="AA10" s="5"/>
      <c r="AB10" s="5"/>
    </row>
    <row r="11" spans="1:28">
      <c r="A11" t="s">
        <v>115</v>
      </c>
      <c r="B11" s="11">
        <v>20900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 t="s">
        <v>56</v>
      </c>
      <c r="U11" s="38">
        <v>66500</v>
      </c>
      <c r="V11" s="5"/>
      <c r="W11" s="5"/>
      <c r="X11" s="5"/>
      <c r="Y11" s="5"/>
      <c r="Z11" s="5"/>
      <c r="AA11" s="5"/>
      <c r="AB11" s="5"/>
    </row>
    <row r="12" spans="1:28">
      <c r="A12" t="s">
        <v>6</v>
      </c>
      <c r="B12" s="11">
        <v>88300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 t="s">
        <v>6</v>
      </c>
      <c r="U12" s="38">
        <v>215800</v>
      </c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t="s">
        <v>182</v>
      </c>
      <c r="B18" t="s">
        <v>181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11">
        <v>97000</v>
      </c>
      <c r="B19" s="11">
        <v>215800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34"/>
      <c r="B20" s="3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34"/>
      <c r="B21" s="3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 t="s">
        <v>18</v>
      </c>
      <c r="Q21" s="5" t="s">
        <v>183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34"/>
      <c r="B22" s="3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 t="s">
        <v>114</v>
      </c>
      <c r="Q22" s="38">
        <v>19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39" t="s">
        <v>18</v>
      </c>
      <c r="B23" s="5" t="s">
        <v>183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 t="s">
        <v>116</v>
      </c>
      <c r="Q23" s="38">
        <v>11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 t="s">
        <v>114</v>
      </c>
      <c r="B24" s="38">
        <v>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 t="s">
        <v>115</v>
      </c>
      <c r="Q24" s="38">
        <v>14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 t="s">
        <v>116</v>
      </c>
      <c r="B25" s="38">
        <v>11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 t="s">
        <v>6</v>
      </c>
      <c r="Q25" s="38">
        <v>44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 t="s">
        <v>115</v>
      </c>
      <c r="B26" s="38">
        <v>14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 t="s">
        <v>6</v>
      </c>
      <c r="B27" s="38">
        <v>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34"/>
      <c r="B28" s="3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34"/>
      <c r="B29" s="3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34"/>
      <c r="B30" s="3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34"/>
      <c r="B31" s="3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34"/>
      <c r="B32" s="3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34"/>
      <c r="B33" s="3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34"/>
      <c r="B34" s="3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34"/>
      <c r="B35" s="3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34"/>
      <c r="B36" s="3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34"/>
      <c r="B37" s="3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34"/>
      <c r="B38" s="3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34"/>
      <c r="B39" s="3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34"/>
      <c r="B40" s="3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34"/>
      <c r="B41" s="3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34"/>
      <c r="B42" s="3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>
      <c r="A43" s="35"/>
      <c r="B43" s="3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2026-02-14T14:19:05Z</dcterms:created>
  <dcterms:modified xsi:type="dcterms:W3CDTF">2026-03-11T09:48:20Z</dcterms:modified>
  <cp:category/>
  <cp:contentStatus/>
</cp:coreProperties>
</file>